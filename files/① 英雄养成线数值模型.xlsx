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萤火石之眼\Desktop\第七史诗_数值策划作品集\"/>
    </mc:Choice>
  </mc:AlternateContent>
  <bookViews>
    <workbookView windowWidth="22188" windowHeight="9060"/>
  </bookViews>
  <sheets>
    <sheet name="全局参数" sheetId="1" r:id="rId1"/>
    <sheet name="等级经验表" sheetId="2" r:id="rId2"/>
    <sheet name="升星表" sheetId="3" r:id="rId3"/>
    <sheet name="觉醒表" sheetId="4" r:id="rId4"/>
    <sheet name="装备强化表" sheetId="5" r:id="rId5"/>
    <sheet name="90天成长模拟" sheetId="6" r:id="rId6"/>
    <sheet name="投放与周期校验" sheetId="7" r:id="rId7"/>
    <sheet name="方法论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<sst xmlns="http://schemas.openxmlformats.org/spreadsheetml/2006/main" count="241" uniqueCount="174">
  <si>
    <t>全局参数（辅助数据）—— 反推链的起点：只改目标与产出参数，全部公式自动重算</t>
  </si>
  <si>
    <t>满级目标周期（天）</t>
  </si>
  <si>
    <t>设计目标：英雄培养完成（等级+升星+觉醒+装备强化）45 天</t>
  </si>
  <si>
    <t>日产经验（折算企鹅）</t>
  </si>
  <si>
    <t>玩家行为产出：体力刷图 + 企鹅兑换，数值为标准玩家日产出估算</t>
  </si>
  <si>
    <t>经验递增率</t>
  </si>
  <si>
    <t>每级所需经验等比递增（平滑成长曲线）</t>
  </si>
  <si>
    <t>英雄等级上限</t>
  </si>
  <si>
    <t>升级次数 = 上限 - 1 = 59</t>
  </si>
  <si>
    <t>高级企鹅单只经验</t>
  </si>
  <si>
    <t>折算单位：日产经验 ÷ 企鹅经验 = 日产企鹅数</t>
  </si>
  <si>
    <t>金币日产出</t>
  </si>
  <si>
    <t>副本 / 出售 / 任务（软通货主渠道）</t>
  </si>
  <si>
    <t>觉醒大催化剂日产出</t>
  </si>
  <si>
    <t>长线墙设计：催化剂是觉醒的节奏闸门</t>
  </si>
  <si>
    <t>觉醒符文日产出</t>
  </si>
  <si>
    <t>刷图掉落</t>
  </si>
  <si>
    <t>升星金币基准（1→2星）</t>
  </si>
  <si>
    <t>每升一星金币 ×2 递增</t>
  </si>
  <si>
    <t>装备强化金币基准（+1）</t>
  </si>
  <si>
    <t>每级 ×1.15 递增，+15 满级</t>
  </si>
  <si>
    <t>装备部位数</t>
  </si>
  <si>
    <t>武器/头盔/护甲/项链/戒指/鞋</t>
  </si>
  <si>
    <t>培养完成度权重-等级</t>
  </si>
  <si>
    <t>综合完成度 = 加权(等级/星级/觉醒/装备)</t>
  </si>
  <si>
    <t>培养完成度权重-星级</t>
  </si>
  <si>
    <t/>
  </si>
  <si>
    <t>培养完成度权重-觉醒</t>
  </si>
  <si>
    <t>培养完成度权重-装备</t>
  </si>
  <si>
    <t>经验曲线和系数（59 级等比求和）</t>
  </si>
  <si>
    <t>Σ(1.05^k), k=0..58 —— 用于反推每级经验基准</t>
  </si>
  <si>
    <t>每级经验基准（反推所得）</t>
  </si>
  <si>
    <t>反推链核心：基准由目标周期与日产反推，改周期即改曲线</t>
  </si>
  <si>
    <t>等级经验表（每级所需经验 = 基准 × 递增率^(等级-1)，公式生成非手填）</t>
  </si>
  <si>
    <t>等级区间</t>
  </si>
  <si>
    <t>所需经验</t>
  </si>
  <si>
    <t>累计经验</t>
  </si>
  <si>
    <t>折算高级企鹅</t>
  </si>
  <si>
    <t>1→2</t>
  </si>
  <si>
    <t>2→3</t>
  </si>
  <si>
    <t>3→4</t>
  </si>
  <si>
    <t>4→5</t>
  </si>
  <si>
    <t>5→6</t>
  </si>
  <si>
    <t>6→7</t>
  </si>
  <si>
    <t>7→8</t>
  </si>
  <si>
    <t>8→9</t>
  </si>
  <si>
    <t>9→10</t>
  </si>
  <si>
    <t>10→11</t>
  </si>
  <si>
    <t>11→12</t>
  </si>
  <si>
    <t>12→13</t>
  </si>
  <si>
    <t>13→14</t>
  </si>
  <si>
    <t>14→15</t>
  </si>
  <si>
    <t>15→16</t>
  </si>
  <si>
    <t>16→17</t>
  </si>
  <si>
    <t>17→18</t>
  </si>
  <si>
    <t>18→19</t>
  </si>
  <si>
    <t>19→20</t>
  </si>
  <si>
    <t>20→21</t>
  </si>
  <si>
    <t>21→22</t>
  </si>
  <si>
    <t>22→23</t>
  </si>
  <si>
    <t>23→24</t>
  </si>
  <si>
    <t>24→25</t>
  </si>
  <si>
    <t>25→26</t>
  </si>
  <si>
    <t>26→27</t>
  </si>
  <si>
    <t>27→28</t>
  </si>
  <si>
    <t>28→29</t>
  </si>
  <si>
    <t>29→30</t>
  </si>
  <si>
    <t>30→31</t>
  </si>
  <si>
    <t>31→32</t>
  </si>
  <si>
    <t>32→33</t>
  </si>
  <si>
    <t>33→34</t>
  </si>
  <si>
    <t>34→35</t>
  </si>
  <si>
    <t>35→36</t>
  </si>
  <si>
    <t>36→37</t>
  </si>
  <si>
    <t>37→38</t>
  </si>
  <si>
    <t>38→39</t>
  </si>
  <si>
    <t>39→40</t>
  </si>
  <si>
    <t>40→41</t>
  </si>
  <si>
    <t>41→42</t>
  </si>
  <si>
    <t>42→43</t>
  </si>
  <si>
    <t>43→44</t>
  </si>
  <si>
    <t>44→45</t>
  </si>
  <si>
    <t>45→46</t>
  </si>
  <si>
    <t>46→47</t>
  </si>
  <si>
    <t>47→48</t>
  </si>
  <si>
    <t>48→49</t>
  </si>
  <si>
    <t>49→50</t>
  </si>
  <si>
    <t>50→51</t>
  </si>
  <si>
    <t>51→52</t>
  </si>
  <si>
    <t>52→53</t>
  </si>
  <si>
    <t>53→54</t>
  </si>
  <si>
    <t>54→55</t>
  </si>
  <si>
    <t>55→56</t>
  </si>
  <si>
    <t>56→57</t>
  </si>
  <si>
    <t>57→58</t>
  </si>
  <si>
    <t>58→59</t>
  </si>
  <si>
    <t>59→60</t>
  </si>
  <si>
    <t>合计（Lv1→60）</t>
  </si>
  <si>
    <t>升星表（金币 ×2 几何递增；幻影 ×3，养成节奏的中段墙）</t>
  </si>
  <si>
    <t>星级阶段</t>
  </si>
  <si>
    <t>金币消耗</t>
  </si>
  <si>
    <t>材料说明</t>
  </si>
  <si>
    <t>1星→2星</t>
  </si>
  <si>
    <t>同星幻影 ×3（副本 / 商店获取）</t>
  </si>
  <si>
    <t>2星→3星</t>
  </si>
  <si>
    <t>3星→4星</t>
  </si>
  <si>
    <t>4星→5星</t>
  </si>
  <si>
    <t>5星→6星</t>
  </si>
  <si>
    <t>合计</t>
  </si>
  <si>
    <t>升星总消耗 = 10+20+40+80+160 万 = 310 万金币。</t>
  </si>
  <si>
    <t>觉醒表（5 属性 × 5 阶 = 25 节点；大催化剂为节奏闸门）</t>
  </si>
  <si>
    <t>觉醒阶</t>
  </si>
  <si>
    <t>属性</t>
  </si>
  <si>
    <t>符文消耗</t>
  </si>
  <si>
    <t>大催化剂</t>
  </si>
  <si>
    <t>节点效果</t>
  </si>
  <si>
    <t>1阶</t>
  </si>
  <si>
    <t>攻击</t>
  </si>
  <si>
    <t>属性 +1.5%</t>
  </si>
  <si>
    <t>防御</t>
  </si>
  <si>
    <t>生命</t>
  </si>
  <si>
    <t>命中</t>
  </si>
  <si>
    <t>抵抗</t>
  </si>
  <si>
    <t>2阶</t>
  </si>
  <si>
    <t>属性 +3.0%</t>
  </si>
  <si>
    <t>3阶</t>
  </si>
  <si>
    <t>属性 +4.5%</t>
  </si>
  <si>
    <t>4阶</t>
  </si>
  <si>
    <t>属性 +6.0%</t>
  </si>
  <si>
    <t>5阶</t>
  </si>
  <si>
    <t>属性 +7.5%</t>
  </si>
  <si>
    <t>大催化剂合计 25 个，日产出 1 个 → 觉醒为 25 天的长线墙（有意设计：等级快墙 / 觉醒长墙 / 装备无限墙 分层）。</t>
  </si>
  <si>
    <t>装备强化表（+1→+15，金币 ×1.15 几何递增；强化 100% 成功）</t>
  </si>
  <si>
    <t>强化等级</t>
  </si>
  <si>
    <t>金币消耗（单件，品质系数=1）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</si>
  <si>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</si>
  <si>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</si>
  <si>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</si>
  <si>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</si>
  <si>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</si>
  <si>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</si>
  <si>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</si>
  <si>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</si>
  <si>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</si>
  <si>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</si>
  <si>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</si>
  <si>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</si>
  <si>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</si>
  <si>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</si>
  <si>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</si>
  <si>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单件合计(+15)</t>
  </si>
  <si>
    <t>六件套合计</t>
  </si>
  <si>
    <t>90 天成长模拟（标准玩家：日产出恒定，完成度 = 累计供给 ÷ 总需求）</t>
  </si>
  <si>
    <t>天数</t>
  </si>
  <si>
    <t>等级完成度</t>
  </si>
  <si>
    <t>升星完成度</t>
  </si>
  <si>
    <t>觉醒完成度</t>
  </si>
  <si>
    <t>装备完成度</t>
  </si>
  <si>
    <t>综合完成度（加权）</t>
  </si>
  <si>
    <t>读法：第 45 天综合完成度应达到 1.0（100%）——验证目标周期设定成立；曲线斜率变化反映各养成墙的节奏。</t>
  </si>
  <si>
    <t>投放与周期校验（四条资源线：总需求 vs 目标周期内供给）</t>
  </si>
  <si>
    <t>经验（升级）</t>
  </si>
  <si>
    <t>金币（升星+装备+觉醒）</t>
  </si>
  <si>
    <t>觉醒大催化剂</t>
  </si>
  <si>
    <t>觉醒符文</t>
  </si>
  <si>
    <t>说明：经验线按目标周期精确闭环；金币线大幅达标——结余是长线装备养成（副词条重铸）与多英雄培养的预算，符合"毕业≠终点"的品类设计。</t>
  </si>
  <si>
    <t>演示：把满级目标周期 45 改为 30 → 经验校验立即显示缺口，需要上调日产或下调曲线基准——这就是可控性。</t>
  </si>
  <si>
    <t>内容</t>
  </si>
  <si>
    <t>① 目标：满级培养周期 45 天（全局参数 B3）</t>
  </si>
  <si>
    <t>② 反推：日产经验恒定 → 总经验预算 = 周期 × 日产 → 曲线基准 = 预算 ÷ 等比和系数（全局参数页反推公式）</t>
  </si>
  <si>
    <t>③ 公式：等级经验表全列公式生成；升星/觉醒/装备消耗全部参数化</t>
  </si>
  <si>
    <t>④ 校验：四条资源线（经验/金币/催化剂/符文）在【投放与周期校验】页闭环，改周期即全表重算</t>
  </si>
  <si>
    <t>⑤ 曲线：90 天模拟页含培养完成度曲线（五条线），验证 45 天综合完成度 100%</t>
  </si>
  <si>
    <t>分层墙设计：等级（快墙，随经验线性）→ 升星（中墙，金币×2 几何）→ 觉醒（长墙，催化剂 1/日闸门）→ 装备（无限墙，副词条驱动）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</si>
</sst>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sz val="9"/>
      <color rgb="FF808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A42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4" fillId="3" borderId="1" xfId="0" applyFont="1" applyFill="1" applyBorder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90 天培养完成度曲线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'90天成长模拟'!$B$3</c:f>
              <c:strCache>
                <c:ptCount val="1"/>
                <c:pt idx="0">
                  <c:v>等级完成度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'90天成长模拟'!$A$4:$A$93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'90天成长模拟'!$B$4:$B$93</c:f>
              <c:numCache>
                <c:formatCode>General</c:formatCode>
                <c:ptCount val="90"/>
                <c:pt idx="0">
                  <c:v>0.022</c:v>
                </c:pt>
                <c:pt idx="1">
                  <c:v>0.044</c:v>
                </c:pt>
                <c:pt idx="2">
                  <c:v>0.067</c:v>
                </c:pt>
                <c:pt idx="3">
                  <c:v>0.089</c:v>
                </c:pt>
                <c:pt idx="4">
                  <c:v>0.111</c:v>
                </c:pt>
                <c:pt idx="5">
                  <c:v>0.133</c:v>
                </c:pt>
                <c:pt idx="6">
                  <c:v>0.156</c:v>
                </c:pt>
                <c:pt idx="7">
                  <c:v>0.178</c:v>
                </c:pt>
                <c:pt idx="8">
                  <c:v>0.2</c:v>
                </c:pt>
                <c:pt idx="9">
                  <c:v>0.222</c:v>
                </c:pt>
                <c:pt idx="10">
                  <c:v>0.244</c:v>
                </c:pt>
                <c:pt idx="11">
                  <c:v>0.267</c:v>
                </c:pt>
                <c:pt idx="12">
                  <c:v>0.289</c:v>
                </c:pt>
                <c:pt idx="13">
                  <c:v>0.311</c:v>
                </c:pt>
                <c:pt idx="14">
                  <c:v>0.333</c:v>
                </c:pt>
                <c:pt idx="15">
                  <c:v>0.356</c:v>
                </c:pt>
                <c:pt idx="16">
                  <c:v>0.378</c:v>
                </c:pt>
                <c:pt idx="17">
                  <c:v>0.4</c:v>
                </c:pt>
                <c:pt idx="18">
                  <c:v>0.422</c:v>
                </c:pt>
                <c:pt idx="19">
                  <c:v>0.444</c:v>
                </c:pt>
                <c:pt idx="20">
                  <c:v>0.467</c:v>
                </c:pt>
                <c:pt idx="21">
                  <c:v>0.489</c:v>
                </c:pt>
                <c:pt idx="22">
                  <c:v>0.511</c:v>
                </c:pt>
                <c:pt idx="23">
                  <c:v>0.533</c:v>
                </c:pt>
                <c:pt idx="24">
                  <c:v>0.556</c:v>
                </c:pt>
                <c:pt idx="25">
                  <c:v>0.578</c:v>
                </c:pt>
                <c:pt idx="26">
                  <c:v>0.6</c:v>
                </c:pt>
                <c:pt idx="27">
                  <c:v>0.622</c:v>
                </c:pt>
                <c:pt idx="28">
                  <c:v>0.644</c:v>
                </c:pt>
                <c:pt idx="29">
                  <c:v>0.667</c:v>
                </c:pt>
                <c:pt idx="30">
                  <c:v>0.689</c:v>
                </c:pt>
                <c:pt idx="31">
                  <c:v>0.711</c:v>
                </c:pt>
                <c:pt idx="32">
                  <c:v>0.733</c:v>
                </c:pt>
                <c:pt idx="33">
                  <c:v>0.756</c:v>
                </c:pt>
                <c:pt idx="34">
                  <c:v>0.778</c:v>
                </c:pt>
                <c:pt idx="35">
                  <c:v>0.8</c:v>
                </c:pt>
                <c:pt idx="36">
                  <c:v>0.822</c:v>
                </c:pt>
                <c:pt idx="37">
                  <c:v>0.844</c:v>
                </c:pt>
                <c:pt idx="38">
                  <c:v>0.867</c:v>
                </c:pt>
                <c:pt idx="39">
                  <c:v>0.889</c:v>
                </c:pt>
                <c:pt idx="40">
                  <c:v>0.911</c:v>
                </c:pt>
                <c:pt idx="41">
                  <c:v>0.933</c:v>
                </c:pt>
                <c:pt idx="42">
                  <c:v>0.956</c:v>
                </c:pt>
                <c:pt idx="43">
                  <c:v>0.978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'90天成长模拟'!$C$3</c:f>
              <c:strCache>
                <c:ptCount val="1"/>
                <c:pt idx="0">
                  <c:v>升星完成度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'90天成长模拟'!$A$4:$A$93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'90天成长模拟'!$C$4:$C$93</c:f>
              <c:numCache>
                <c:formatCode>General</c:formatCode>
                <c:ptCount val="90"/>
                <c:pt idx="0">
                  <c:v>0.052</c:v>
                </c:pt>
                <c:pt idx="1">
                  <c:v>0.103</c:v>
                </c:pt>
                <c:pt idx="2">
                  <c:v>0.155</c:v>
                </c:pt>
                <c:pt idx="3">
                  <c:v>0.206</c:v>
                </c:pt>
                <c:pt idx="4">
                  <c:v>0.258</c:v>
                </c:pt>
                <c:pt idx="5">
                  <c:v>0.31</c:v>
                </c:pt>
                <c:pt idx="6">
                  <c:v>0.361</c:v>
                </c:pt>
                <c:pt idx="7">
                  <c:v>0.413</c:v>
                </c:pt>
                <c:pt idx="8">
                  <c:v>0.465</c:v>
                </c:pt>
                <c:pt idx="9">
                  <c:v>0.516</c:v>
                </c:pt>
                <c:pt idx="10">
                  <c:v>0.568</c:v>
                </c:pt>
                <c:pt idx="11">
                  <c:v>0.619</c:v>
                </c:pt>
                <c:pt idx="12">
                  <c:v>0.671</c:v>
                </c:pt>
                <c:pt idx="13">
                  <c:v>0.723</c:v>
                </c:pt>
                <c:pt idx="14">
                  <c:v>0.774</c:v>
                </c:pt>
                <c:pt idx="15">
                  <c:v>0.826</c:v>
                </c:pt>
                <c:pt idx="16">
                  <c:v>0.877</c:v>
                </c:pt>
                <c:pt idx="17">
                  <c:v>0.929</c:v>
                </c:pt>
                <c:pt idx="18">
                  <c:v>0.981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'90天成长模拟'!$D$3</c:f>
              <c:strCache>
                <c:ptCount val="1"/>
                <c:pt idx="0">
                  <c:v>觉醒完成度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'90天成长模拟'!$A$4:$A$93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'90天成长模拟'!$D$4:$D$93</c:f>
              <c:numCache>
                <c:formatCode>General</c:formatCode>
                <c:ptCount val="90"/>
                <c:pt idx="0">
                  <c:v>0.04</c:v>
                </c:pt>
                <c:pt idx="1">
                  <c:v>0.08</c:v>
                </c:pt>
                <c:pt idx="2">
                  <c:v>0.12</c:v>
                </c:pt>
                <c:pt idx="3">
                  <c:v>0.16</c:v>
                </c:pt>
                <c:pt idx="4">
                  <c:v>0.2</c:v>
                </c:pt>
                <c:pt idx="5">
                  <c:v>0.24</c:v>
                </c:pt>
                <c:pt idx="6">
                  <c:v>0.28</c:v>
                </c:pt>
                <c:pt idx="7">
                  <c:v>0.32</c:v>
                </c:pt>
                <c:pt idx="8">
                  <c:v>0.36</c:v>
                </c:pt>
                <c:pt idx="9">
                  <c:v>0.4</c:v>
                </c:pt>
                <c:pt idx="10">
                  <c:v>0.44</c:v>
                </c:pt>
                <c:pt idx="11">
                  <c:v>0.48</c:v>
                </c:pt>
                <c:pt idx="12">
                  <c:v>0.52</c:v>
                </c:pt>
                <c:pt idx="13">
                  <c:v>0.56</c:v>
                </c:pt>
                <c:pt idx="14">
                  <c:v>0.6</c:v>
                </c:pt>
                <c:pt idx="15">
                  <c:v>0.64</c:v>
                </c:pt>
                <c:pt idx="16">
                  <c:v>0.68</c:v>
                </c:pt>
                <c:pt idx="17">
                  <c:v>0.72</c:v>
                </c:pt>
                <c:pt idx="18">
                  <c:v>0.76</c:v>
                </c:pt>
                <c:pt idx="19">
                  <c:v>0.8</c:v>
                </c:pt>
                <c:pt idx="20">
                  <c:v>0.84</c:v>
                </c:pt>
                <c:pt idx="21">
                  <c:v>0.88</c:v>
                </c:pt>
                <c:pt idx="22">
                  <c:v>0.92</c:v>
                </c:pt>
                <c:pt idx="23">
                  <c:v>0.96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'90天成长模拟'!$E$3</c:f>
              <c:strCache>
                <c:ptCount val="1"/>
                <c:pt idx="0">
                  <c:v>装备完成度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'90天成长模拟'!$A$4:$A$93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'90天成长模拟'!$E$4:$E$93</c:f>
              <c:numCache>
                <c:formatCode>General</c:formatCode>
                <c:ptCount val="90"/>
                <c:pt idx="0">
                  <c:v>0.105</c:v>
                </c:pt>
                <c:pt idx="1">
                  <c:v>0.21</c:v>
                </c:pt>
                <c:pt idx="2">
                  <c:v>0.315</c:v>
                </c:pt>
                <c:pt idx="3">
                  <c:v>0.42</c:v>
                </c:pt>
                <c:pt idx="4">
                  <c:v>0.525</c:v>
                </c:pt>
                <c:pt idx="5">
                  <c:v>0.631</c:v>
                </c:pt>
                <c:pt idx="6">
                  <c:v>0.736</c:v>
                </c:pt>
                <c:pt idx="7">
                  <c:v>0.841</c:v>
                </c:pt>
                <c:pt idx="8">
                  <c:v>0.946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'90天成长模拟'!$F$3</c:f>
              <c:strCache>
                <c:ptCount val="1"/>
                <c:pt idx="0">
                  <c:v>综合完成度（加权）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'90天成长模拟'!$A$4:$A$93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cat>
          <c:val>
            <c:numRef>
              <c:f>'90天成长模拟'!$F$4:$F$93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天数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完成度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7ea0ed-8738-4d19-96f2-e99930c7cad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3</xdr:row>
      <xdr:rowOff>0</xdr:rowOff>
    </xdr:from>
    <xdr:ext cx="8640000" cy="3600000"/>
    <xdr:graphicFrame>
      <xdr:nvGraphicFramePr>
        <xdr:cNvPr id="2" name="Chart 1"/>
        <xdr:cNvGraphicFramePr/>
      </xdr:nvGraphicFramePr>
      <xdr:xfrm>
        <a:off x="7338060" y="601980"/>
        <a:ext cx="863981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9" sqref="B9"/>
    </sheetView>
  </sheetViews>
  <sheetFormatPr defaultColWidth="9" defaultRowHeight="14.4" outlineLevelCol="2"/>
  <cols>
    <col min="1" max="1" width="32" customWidth="1"/>
    <col min="2" max="2" width="12" customWidth="1"/>
    <col min="3" max="3" width="50" customWidth="1"/>
  </cols>
  <sheetData>
    <row r="1" ht="17.4" spans="1:3">
      <c r="A1" s="3" t="s">
        <v>0</v>
      </c>
    </row>
    <row r="3" ht="15.6" spans="1:3">
      <c r="A3" s="4" t="s">
        <v>1</v>
      </c>
      <c r="B3" s="7">
        <v>45</v>
      </c>
      <c r="C3" s="6" t="s">
        <v>2</v>
      </c>
    </row>
    <row r="4" ht="15.6" spans="1:3">
      <c r="A4" s="4" t="s">
        <v>3</v>
      </c>
      <c r="B4" s="7">
        <v>150000</v>
      </c>
      <c r="C4" s="6" t="s">
        <v>4</v>
      </c>
    </row>
    <row r="5" ht="15.6" spans="1:3">
      <c r="A5" s="4" t="s">
        <v>5</v>
      </c>
      <c r="B5" s="7">
        <v>1.05</v>
      </c>
      <c r="C5" s="6" t="s">
        <v>6</v>
      </c>
    </row>
    <row r="6" ht="15.6" spans="1:3">
      <c r="A6" s="4" t="s">
        <v>7</v>
      </c>
      <c r="B6" s="7">
        <v>60</v>
      </c>
      <c r="C6" s="6" t="s">
        <v>8</v>
      </c>
    </row>
    <row r="7" ht="15.6" spans="1:3">
      <c r="A7" s="4" t="s">
        <v>9</v>
      </c>
      <c r="B7" s="7">
        <v>50000</v>
      </c>
      <c r="C7" s="6" t="s">
        <v>10</v>
      </c>
    </row>
    <row r="8" ht="15.6" spans="1:3">
      <c r="A8" s="4" t="s">
        <v>11</v>
      </c>
      <c r="B8" s="7">
        <v>400000</v>
      </c>
      <c r="C8" s="6" t="s">
        <v>12</v>
      </c>
    </row>
    <row r="9" ht="15.6" spans="1:3">
      <c r="A9" s="4" t="s">
        <v>13</v>
      </c>
      <c r="B9" s="7">
        <v>1</v>
      </c>
      <c r="C9" s="6" t="s">
        <v>14</v>
      </c>
    </row>
    <row r="10" ht="15.6" spans="1:3">
      <c r="A10" s="4" t="s">
        <v>15</v>
      </c>
      <c r="B10" s="7">
        <v>40</v>
      </c>
      <c r="C10" s="6" t="s">
        <v>16</v>
      </c>
    </row>
    <row r="11" ht="15.6" spans="1:3">
      <c r="A11" s="4" t="s">
        <v>17</v>
      </c>
      <c r="B11" s="7">
        <v>100000</v>
      </c>
      <c r="C11" s="6" t="s">
        <v>18</v>
      </c>
    </row>
    <row r="12" ht="15.6" spans="1:3">
      <c r="A12" s="4" t="s">
        <v>19</v>
      </c>
      <c r="B12" s="7">
        <v>8000</v>
      </c>
      <c r="C12" s="6" t="s">
        <v>20</v>
      </c>
    </row>
    <row r="13" ht="15.6" spans="1:3">
      <c r="A13" s="4" t="s">
        <v>21</v>
      </c>
      <c r="B13" s="7">
        <v>6</v>
      </c>
      <c r="C13" s="6" t="s">
        <v>22</v>
      </c>
    </row>
    <row r="14" ht="15.6" spans="1:3">
      <c r="A14" s="4" t="s">
        <v>23</v>
      </c>
      <c r="B14" s="7">
        <v>0.35</v>
      </c>
      <c r="C14" s="6" t="s">
        <v>24</v>
      </c>
    </row>
    <row r="15" ht="15.6" spans="1:3">
      <c r="A15" s="4" t="s">
        <v>25</v>
      </c>
      <c r="B15" s="7">
        <v>0.15</v>
      </c>
      <c r="C15" s="6" t="s">
        <v>26</v>
      </c>
    </row>
    <row r="16" ht="15.6" spans="1:3">
      <c r="A16" s="4" t="s">
        <v>27</v>
      </c>
      <c r="B16" s="7">
        <v>0.15</v>
      </c>
      <c r="C16" s="6" t="s">
        <v>26</v>
      </c>
    </row>
    <row r="17" ht="15.6" spans="1:3">
      <c r="A17" s="4" t="s">
        <v>28</v>
      </c>
      <c r="B17" s="7">
        <v>0.35</v>
      </c>
      <c r="C17" s="6" t="s">
        <v>26</v>
      </c>
    </row>
    <row r="19" ht="15.6" spans="1:3">
      <c r="A19" s="4" t="s">
        <v>29</v>
      </c>
      <c r="B19" s="5">
        <f>ROUND((POWER(全局参数!$B$5,59)-1)/(全局参数!$B$5-1),2)</f>
        <v>335.79</v>
      </c>
      <c r="C19" s="6" t="s">
        <v>30</v>
      </c>
    </row>
    <row r="20" ht="15.6" spans="1:3">
      <c r="A20" s="4" t="s">
        <v>31</v>
      </c>
      <c r="B20" s="7">
        <f>ROUND(全局参数!$B$3*全局参数!$B$4/全局参数!$B$19,0)</f>
        <v>20102</v>
      </c>
      <c r="C20" s="6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opLeftCell="A46" workbookViewId="0">
      <selection activeCell="B19" sqref="B19"/>
    </sheetView>
  </sheetViews>
  <sheetFormatPr defaultColWidth="9" defaultRowHeight="14.4" outlineLevelCol="3"/>
  <cols>
    <col min="1" max="1" width="12" customWidth="1"/>
    <col min="2" max="4" width="18" customWidth="1"/>
  </cols>
  <sheetData>
    <row r="1" ht="17.4" spans="1:4">
      <c r="A1" s="3" t="s">
        <v>33</v>
      </c>
    </row>
    <row r="3" ht="15.6" spans="1:4">
      <c r="A3" s="1" t="s">
        <v>34</v>
      </c>
      <c r="B3" s="1" t="s">
        <v>35</v>
      </c>
      <c r="C3" s="1" t="s">
        <v>36</v>
      </c>
      <c r="D3" s="1" t="s">
        <v>37</v>
      </c>
    </row>
    <row r="4" ht="15" spans="1:4">
      <c r="A4" s="2" t="s">
        <v>38</v>
      </c>
      <c r="B4" s="2">
        <f>ROUND(全局参数!$B$20*POWER(全局参数!$B$5,1-1),0)</f>
        <v>20102</v>
      </c>
      <c r="C4" s="2">
        <f>B4</f>
        <v>20102</v>
      </c>
      <c r="D4" s="2">
        <f>ROUND(B4/全局参数!$B$7,1)</f>
        <v>0.4</v>
      </c>
    </row>
    <row r="5" ht="15" spans="1:4">
      <c r="A5" s="2" t="s">
        <v>39</v>
      </c>
      <c r="B5" s="2">
        <f>ROUND(全局参数!$B$20*POWER(全局参数!$B$5,2-1),0)</f>
        <v>21107</v>
      </c>
      <c r="C5" s="2">
        <f t="shared" ref="C5:C62" si="0">C4+B5</f>
        <v>41209</v>
      </c>
      <c r="D5" s="2">
        <f>ROUND(B5/全局参数!$B$7,1)</f>
        <v>0.4</v>
      </c>
    </row>
    <row r="6" ht="15" spans="1:4">
      <c r="A6" s="2" t="s">
        <v>40</v>
      </c>
      <c r="B6" s="2">
        <f>ROUND(全局参数!$B$20*POWER(全局参数!$B$5,3-1),0)</f>
        <v>22162</v>
      </c>
      <c r="C6" s="2">
        <f t="shared" si="0"/>
        <v>63371</v>
      </c>
      <c r="D6" s="2">
        <f>ROUND(B6/全局参数!$B$7,1)</f>
        <v>0.4</v>
      </c>
    </row>
    <row r="7" ht="15" spans="1:4">
      <c r="A7" s="2" t="s">
        <v>41</v>
      </c>
      <c r="B7" s="2">
        <f>ROUND(全局参数!$B$20*POWER(全局参数!$B$5,4-1),0)</f>
        <v>23271</v>
      </c>
      <c r="C7" s="2">
        <f t="shared" si="0"/>
        <v>86642</v>
      </c>
      <c r="D7" s="2">
        <f>ROUND(B7/全局参数!$B$7,1)</f>
        <v>0.5</v>
      </c>
    </row>
    <row r="8" ht="15" spans="1:4">
      <c r="A8" s="2" t="s">
        <v>42</v>
      </c>
      <c r="B8" s="2">
        <f>ROUND(全局参数!$B$20*POWER(全局参数!$B$5,5-1),0)</f>
        <v>24434</v>
      </c>
      <c r="C8" s="2">
        <f t="shared" si="0"/>
        <v>111076</v>
      </c>
      <c r="D8" s="2">
        <f>ROUND(B8/全局参数!$B$7,1)</f>
        <v>0.5</v>
      </c>
    </row>
    <row r="9" ht="15" spans="1:4">
      <c r="A9" s="2" t="s">
        <v>43</v>
      </c>
      <c r="B9" s="2">
        <f>ROUND(全局参数!$B$20*POWER(全局参数!$B$5,6-1),0)</f>
        <v>25656</v>
      </c>
      <c r="C9" s="2">
        <f t="shared" si="0"/>
        <v>136732</v>
      </c>
      <c r="D9" s="2">
        <f>ROUND(B9/全局参数!$B$7,1)</f>
        <v>0.5</v>
      </c>
    </row>
    <row r="10" ht="15" spans="1:4">
      <c r="A10" s="2" t="s">
        <v>44</v>
      </c>
      <c r="B10" s="2">
        <f>ROUND(全局参数!$B$20*POWER(全局参数!$B$5,7-1),0)</f>
        <v>26939</v>
      </c>
      <c r="C10" s="2">
        <f t="shared" si="0"/>
        <v>163671</v>
      </c>
      <c r="D10" s="2">
        <f>ROUND(B10/全局参数!$B$7,1)</f>
        <v>0.5</v>
      </c>
    </row>
    <row r="11" ht="15" spans="1:4">
      <c r="A11" s="2" t="s">
        <v>45</v>
      </c>
      <c r="B11" s="2">
        <f>ROUND(全局参数!$B$20*POWER(全局参数!$B$5,8-1),0)</f>
        <v>28286</v>
      </c>
      <c r="C11" s="2">
        <f t="shared" si="0"/>
        <v>191957</v>
      </c>
      <c r="D11" s="2">
        <f>ROUND(B11/全局参数!$B$7,1)</f>
        <v>0.6</v>
      </c>
    </row>
    <row r="12" ht="15" spans="1:4">
      <c r="A12" s="2" t="s">
        <v>46</v>
      </c>
      <c r="B12" s="2">
        <f>ROUND(全局参数!$B$20*POWER(全局参数!$B$5,9-1),0)</f>
        <v>29700</v>
      </c>
      <c r="C12" s="2">
        <f t="shared" si="0"/>
        <v>221657</v>
      </c>
      <c r="D12" s="2">
        <f>ROUND(B12/全局参数!$B$7,1)</f>
        <v>0.6</v>
      </c>
    </row>
    <row r="13" ht="15" spans="1:4">
      <c r="A13" s="2" t="s">
        <v>47</v>
      </c>
      <c r="B13" s="2">
        <f>ROUND(全局参数!$B$20*POWER(全局参数!$B$5,10-1),0)</f>
        <v>31185</v>
      </c>
      <c r="C13" s="2">
        <f t="shared" si="0"/>
        <v>252842</v>
      </c>
      <c r="D13" s="2">
        <f>ROUND(B13/全局参数!$B$7,1)</f>
        <v>0.6</v>
      </c>
    </row>
    <row r="14" ht="15" spans="1:4">
      <c r="A14" s="2" t="s">
        <v>48</v>
      </c>
      <c r="B14" s="2">
        <f>ROUND(全局参数!$B$20*POWER(全局参数!$B$5,11-1),0)</f>
        <v>32744</v>
      </c>
      <c r="C14" s="2">
        <f t="shared" si="0"/>
        <v>285586</v>
      </c>
      <c r="D14" s="2">
        <f>ROUND(B14/全局参数!$B$7,1)</f>
        <v>0.7</v>
      </c>
    </row>
    <row r="15" ht="15" spans="1:4">
      <c r="A15" s="2" t="s">
        <v>49</v>
      </c>
      <c r="B15" s="2">
        <f>ROUND(全局参数!$B$20*POWER(全局参数!$B$5,12-1),0)</f>
        <v>34381</v>
      </c>
      <c r="C15" s="2">
        <f t="shared" si="0"/>
        <v>319967</v>
      </c>
      <c r="D15" s="2">
        <f>ROUND(B15/全局参数!$B$7,1)</f>
        <v>0.7</v>
      </c>
    </row>
    <row r="16" ht="15" spans="1:4">
      <c r="A16" s="2" t="s">
        <v>50</v>
      </c>
      <c r="B16" s="2">
        <f>ROUND(全局参数!$B$20*POWER(全局参数!$B$5,13-1),0)</f>
        <v>36100</v>
      </c>
      <c r="C16" s="2">
        <f t="shared" si="0"/>
        <v>356067</v>
      </c>
      <c r="D16" s="2">
        <f>ROUND(B16/全局参数!$B$7,1)</f>
        <v>0.7</v>
      </c>
    </row>
    <row r="17" ht="15" spans="1:4">
      <c r="A17" s="2" t="s">
        <v>51</v>
      </c>
      <c r="B17" s="2">
        <f>ROUND(全局参数!$B$20*POWER(全局参数!$B$5,14-1),0)</f>
        <v>37905</v>
      </c>
      <c r="C17" s="2">
        <f t="shared" si="0"/>
        <v>393972</v>
      </c>
      <c r="D17" s="2">
        <f>ROUND(B17/全局参数!$B$7,1)</f>
        <v>0.8</v>
      </c>
    </row>
    <row r="18" ht="15" spans="1:4">
      <c r="A18" s="2" t="s">
        <v>52</v>
      </c>
      <c r="B18" s="2">
        <f>ROUND(全局参数!$B$20*POWER(全局参数!$B$5,15-1),0)</f>
        <v>39801</v>
      </c>
      <c r="C18" s="2">
        <f t="shared" si="0"/>
        <v>433773</v>
      </c>
      <c r="D18" s="2">
        <f>ROUND(B18/全局参数!$B$7,1)</f>
        <v>0.8</v>
      </c>
    </row>
    <row r="19" ht="15" spans="1:4">
      <c r="A19" s="2" t="s">
        <v>53</v>
      </c>
      <c r="B19" s="2">
        <f>ROUND(全局参数!$B$20*POWER(全局参数!$B$5,16-1),0)</f>
        <v>41791</v>
      </c>
      <c r="C19" s="2">
        <f t="shared" si="0"/>
        <v>475564</v>
      </c>
      <c r="D19" s="2">
        <f>ROUND(B19/全局参数!$B$7,1)</f>
        <v>0.8</v>
      </c>
    </row>
    <row r="20" ht="15" spans="1:4">
      <c r="A20" s="2" t="s">
        <v>54</v>
      </c>
      <c r="B20" s="2">
        <f>ROUND(全局参数!$B$20*POWER(全局参数!$B$5,17-1),0)</f>
        <v>43880</v>
      </c>
      <c r="C20" s="2">
        <f t="shared" si="0"/>
        <v>519444</v>
      </c>
      <c r="D20" s="2">
        <f>ROUND(B20/全局参数!$B$7,1)</f>
        <v>0.9</v>
      </c>
    </row>
    <row r="21" ht="15" spans="1:4">
      <c r="A21" s="2" t="s">
        <v>55</v>
      </c>
      <c r="B21" s="2">
        <f>ROUND(全局参数!$B$20*POWER(全局参数!$B$5,18-1),0)</f>
        <v>46074</v>
      </c>
      <c r="C21" s="2">
        <f t="shared" si="0"/>
        <v>565518</v>
      </c>
      <c r="D21" s="2">
        <f>ROUND(B21/全局参数!$B$7,1)</f>
        <v>0.9</v>
      </c>
    </row>
    <row r="22" ht="15" spans="1:4">
      <c r="A22" s="2" t="s">
        <v>56</v>
      </c>
      <c r="B22" s="2">
        <f>ROUND(全局参数!$B$20*POWER(全局参数!$B$5,19-1),0)</f>
        <v>48378</v>
      </c>
      <c r="C22" s="2">
        <f t="shared" si="0"/>
        <v>613896</v>
      </c>
      <c r="D22" s="2">
        <f>ROUND(B22/全局参数!$B$7,1)</f>
        <v>1</v>
      </c>
    </row>
    <row r="23" ht="15" spans="1:4">
      <c r="A23" s="2" t="s">
        <v>57</v>
      </c>
      <c r="B23" s="2">
        <f>ROUND(全局参数!$B$20*POWER(全局参数!$B$5,20-1),0)</f>
        <v>50797</v>
      </c>
      <c r="C23" s="2">
        <f t="shared" si="0"/>
        <v>664693</v>
      </c>
      <c r="D23" s="2">
        <f>ROUND(B23/全局参数!$B$7,1)</f>
        <v>1</v>
      </c>
    </row>
    <row r="24" ht="15" spans="1:4">
      <c r="A24" s="2" t="s">
        <v>58</v>
      </c>
      <c r="B24" s="2">
        <f>ROUND(全局参数!$B$20*POWER(全局参数!$B$5,21-1),0)</f>
        <v>53337</v>
      </c>
      <c r="C24" s="2">
        <f t="shared" si="0"/>
        <v>718030</v>
      </c>
      <c r="D24" s="2">
        <f>ROUND(B24/全局参数!$B$7,1)</f>
        <v>1.1</v>
      </c>
    </row>
    <row r="25" ht="15" spans="1:4">
      <c r="A25" s="2" t="s">
        <v>59</v>
      </c>
      <c r="B25" s="2">
        <f>ROUND(全局参数!$B$20*POWER(全局参数!$B$5,22-1),0)</f>
        <v>56003</v>
      </c>
      <c r="C25" s="2">
        <f t="shared" si="0"/>
        <v>774033</v>
      </c>
      <c r="D25" s="2">
        <f>ROUND(B25/全局参数!$B$7,1)</f>
        <v>1.1</v>
      </c>
    </row>
    <row r="26" ht="15" spans="1:4">
      <c r="A26" s="2" t="s">
        <v>60</v>
      </c>
      <c r="B26" s="2">
        <f>ROUND(全局参数!$B$20*POWER(全局参数!$B$5,23-1),0)</f>
        <v>58804</v>
      </c>
      <c r="C26" s="2">
        <f t="shared" si="0"/>
        <v>832837</v>
      </c>
      <c r="D26" s="2">
        <f>ROUND(B26/全局参数!$B$7,1)</f>
        <v>1.2</v>
      </c>
    </row>
    <row r="27" ht="15" spans="1:4">
      <c r="A27" s="2" t="s">
        <v>61</v>
      </c>
      <c r="B27" s="2">
        <f>ROUND(全局参数!$B$20*POWER(全局参数!$B$5,24-1),0)</f>
        <v>61744</v>
      </c>
      <c r="C27" s="2">
        <f t="shared" si="0"/>
        <v>894581</v>
      </c>
      <c r="D27" s="2">
        <f>ROUND(B27/全局参数!$B$7,1)</f>
        <v>1.2</v>
      </c>
    </row>
    <row r="28" ht="15" spans="1:4">
      <c r="A28" s="2" t="s">
        <v>62</v>
      </c>
      <c r="B28" s="2">
        <f>ROUND(全局参数!$B$20*POWER(全局参数!$B$5,25-1),0)</f>
        <v>64831</v>
      </c>
      <c r="C28" s="2">
        <f t="shared" si="0"/>
        <v>959412</v>
      </c>
      <c r="D28" s="2">
        <f>ROUND(B28/全局参数!$B$7,1)</f>
        <v>1.3</v>
      </c>
    </row>
    <row r="29" ht="15" spans="1:4">
      <c r="A29" s="2" t="s">
        <v>63</v>
      </c>
      <c r="B29" s="2">
        <f>ROUND(全局参数!$B$20*POWER(全局参数!$B$5,26-1),0)</f>
        <v>68073</v>
      </c>
      <c r="C29" s="2">
        <f t="shared" si="0"/>
        <v>1027485</v>
      </c>
      <c r="D29" s="2">
        <f>ROUND(B29/全局参数!$B$7,1)</f>
        <v>1.4</v>
      </c>
    </row>
    <row r="30" ht="15" spans="1:4">
      <c r="A30" s="2" t="s">
        <v>64</v>
      </c>
      <c r="B30" s="2">
        <f>ROUND(全局参数!$B$20*POWER(全局参数!$B$5,27-1),0)</f>
        <v>71476</v>
      </c>
      <c r="C30" s="2">
        <f t="shared" si="0"/>
        <v>1098961</v>
      </c>
      <c r="D30" s="2">
        <f>ROUND(B30/全局参数!$B$7,1)</f>
        <v>1.4</v>
      </c>
    </row>
    <row r="31" ht="15" spans="1:4">
      <c r="A31" s="2" t="s">
        <v>65</v>
      </c>
      <c r="B31" s="2">
        <f>ROUND(全局参数!$B$20*POWER(全局参数!$B$5,28-1),0)</f>
        <v>75050</v>
      </c>
      <c r="C31" s="2">
        <f t="shared" si="0"/>
        <v>1174011</v>
      </c>
      <c r="D31" s="2">
        <f>ROUND(B31/全局参数!$B$7,1)</f>
        <v>1.5</v>
      </c>
    </row>
    <row r="32" ht="15" spans="1:4">
      <c r="A32" s="2" t="s">
        <v>66</v>
      </c>
      <c r="B32" s="2">
        <f>ROUND(全局参数!$B$20*POWER(全局参数!$B$5,29-1),0)</f>
        <v>78802</v>
      </c>
      <c r="C32" s="2">
        <f t="shared" si="0"/>
        <v>1252813</v>
      </c>
      <c r="D32" s="2">
        <f>ROUND(B32/全局参数!$B$7,1)</f>
        <v>1.6</v>
      </c>
    </row>
    <row r="33" ht="15" spans="1:4">
      <c r="A33" s="2" t="s">
        <v>67</v>
      </c>
      <c r="B33" s="2">
        <f>ROUND(全局参数!$B$20*POWER(全局参数!$B$5,30-1),0)</f>
        <v>82743</v>
      </c>
      <c r="C33" s="2">
        <f t="shared" si="0"/>
        <v>1335556</v>
      </c>
      <c r="D33" s="2">
        <f>ROUND(B33/全局参数!$B$7,1)</f>
        <v>1.7</v>
      </c>
    </row>
    <row r="34" ht="15" spans="1:4">
      <c r="A34" s="2" t="s">
        <v>68</v>
      </c>
      <c r="B34" s="2">
        <f>ROUND(全局参数!$B$20*POWER(全局参数!$B$5,31-1),0)</f>
        <v>86880</v>
      </c>
      <c r="C34" s="2">
        <f t="shared" si="0"/>
        <v>1422436</v>
      </c>
      <c r="D34" s="2">
        <f>ROUND(B34/全局参数!$B$7,1)</f>
        <v>1.7</v>
      </c>
    </row>
    <row r="35" ht="15" spans="1:4">
      <c r="A35" s="2" t="s">
        <v>69</v>
      </c>
      <c r="B35" s="2">
        <f>ROUND(全局参数!$B$20*POWER(全局参数!$B$5,32-1),0)</f>
        <v>91224</v>
      </c>
      <c r="C35" s="2">
        <f t="shared" si="0"/>
        <v>1513660</v>
      </c>
      <c r="D35" s="2">
        <f>ROUND(B35/全局参数!$B$7,1)</f>
        <v>1.8</v>
      </c>
    </row>
    <row r="36" ht="15" spans="1:4">
      <c r="A36" s="2" t="s">
        <v>70</v>
      </c>
      <c r="B36" s="2">
        <f>ROUND(全局参数!$B$20*POWER(全局参数!$B$5,33-1),0)</f>
        <v>95785</v>
      </c>
      <c r="C36" s="2">
        <f t="shared" si="0"/>
        <v>1609445</v>
      </c>
      <c r="D36" s="2">
        <f>ROUND(B36/全局参数!$B$7,1)</f>
        <v>1.9</v>
      </c>
    </row>
    <row r="37" ht="15" spans="1:4">
      <c r="A37" s="2" t="s">
        <v>71</v>
      </c>
      <c r="B37" s="2">
        <f>ROUND(全局参数!$B$20*POWER(全局参数!$B$5,34-1),0)</f>
        <v>100574</v>
      </c>
      <c r="C37" s="2">
        <f t="shared" si="0"/>
        <v>1710019</v>
      </c>
      <c r="D37" s="2">
        <f>ROUND(B37/全局参数!$B$7,1)</f>
        <v>2</v>
      </c>
    </row>
    <row r="38" ht="15" spans="1:4">
      <c r="A38" s="2" t="s">
        <v>72</v>
      </c>
      <c r="B38" s="2">
        <f>ROUND(全局参数!$B$20*POWER(全局参数!$B$5,35-1),0)</f>
        <v>105603</v>
      </c>
      <c r="C38" s="2">
        <f t="shared" si="0"/>
        <v>1815622</v>
      </c>
      <c r="D38" s="2">
        <f>ROUND(B38/全局参数!$B$7,1)</f>
        <v>2.1</v>
      </c>
    </row>
    <row r="39" ht="15" spans="1:4">
      <c r="A39" s="2" t="s">
        <v>73</v>
      </c>
      <c r="B39" s="2">
        <f>ROUND(全局参数!$B$20*POWER(全局参数!$B$5,36-1),0)</f>
        <v>110883</v>
      </c>
      <c r="C39" s="2">
        <f t="shared" si="0"/>
        <v>1926505</v>
      </c>
      <c r="D39" s="2">
        <f>ROUND(B39/全局参数!$B$7,1)</f>
        <v>2.2</v>
      </c>
    </row>
    <row r="40" ht="15" spans="1:4">
      <c r="A40" s="2" t="s">
        <v>74</v>
      </c>
      <c r="B40" s="2">
        <f>ROUND(全局参数!$B$20*POWER(全局参数!$B$5,37-1),0)</f>
        <v>116427</v>
      </c>
      <c r="C40" s="2">
        <f t="shared" si="0"/>
        <v>2042932</v>
      </c>
      <c r="D40" s="2">
        <f>ROUND(B40/全局参数!$B$7,1)</f>
        <v>2.3</v>
      </c>
    </row>
    <row r="41" ht="15" spans="1:4">
      <c r="A41" s="2" t="s">
        <v>75</v>
      </c>
      <c r="B41" s="2">
        <f>ROUND(全局参数!$B$20*POWER(全局参数!$B$5,38-1),0)</f>
        <v>122248</v>
      </c>
      <c r="C41" s="2">
        <f t="shared" si="0"/>
        <v>2165180</v>
      </c>
      <c r="D41" s="2">
        <f>ROUND(B41/全局参数!$B$7,1)</f>
        <v>2.4</v>
      </c>
    </row>
    <row r="42" ht="15" spans="1:4">
      <c r="A42" s="2" t="s">
        <v>76</v>
      </c>
      <c r="B42" s="2">
        <f>ROUND(全局参数!$B$20*POWER(全局参数!$B$5,39-1),0)</f>
        <v>128361</v>
      </c>
      <c r="C42" s="2">
        <f t="shared" si="0"/>
        <v>2293541</v>
      </c>
      <c r="D42" s="2">
        <f>ROUND(B42/全局参数!$B$7,1)</f>
        <v>2.6</v>
      </c>
    </row>
    <row r="43" ht="15" spans="1:4">
      <c r="A43" s="2" t="s">
        <v>77</v>
      </c>
      <c r="B43" s="2">
        <f>ROUND(全局参数!$B$20*POWER(全局参数!$B$5,40-1),0)</f>
        <v>134779</v>
      </c>
      <c r="C43" s="2">
        <f t="shared" si="0"/>
        <v>2428320</v>
      </c>
      <c r="D43" s="2">
        <f>ROUND(B43/全局参数!$B$7,1)</f>
        <v>2.7</v>
      </c>
    </row>
    <row r="44" ht="15" spans="1:4">
      <c r="A44" s="2" t="s">
        <v>78</v>
      </c>
      <c r="B44" s="2">
        <f>ROUND(全局参数!$B$20*POWER(全局参数!$B$5,41-1),0)</f>
        <v>141518</v>
      </c>
      <c r="C44" s="2">
        <f t="shared" si="0"/>
        <v>2569838</v>
      </c>
      <c r="D44" s="2">
        <f>ROUND(B44/全局参数!$B$7,1)</f>
        <v>2.8</v>
      </c>
    </row>
    <row r="45" ht="15" spans="1:4">
      <c r="A45" s="2" t="s">
        <v>79</v>
      </c>
      <c r="B45" s="2">
        <f>ROUND(全局参数!$B$20*POWER(全局参数!$B$5,42-1),0)</f>
        <v>148594</v>
      </c>
      <c r="C45" s="2">
        <f t="shared" si="0"/>
        <v>2718432</v>
      </c>
      <c r="D45" s="2">
        <f>ROUND(B45/全局参数!$B$7,1)</f>
        <v>3</v>
      </c>
    </row>
    <row r="46" ht="15" spans="1:4">
      <c r="A46" s="2" t="s">
        <v>80</v>
      </c>
      <c r="B46" s="2">
        <f>ROUND(全局参数!$B$20*POWER(全局参数!$B$5,43-1),0)</f>
        <v>156023</v>
      </c>
      <c r="C46" s="2">
        <f t="shared" si="0"/>
        <v>2874455</v>
      </c>
      <c r="D46" s="2">
        <f>ROUND(B46/全局参数!$B$7,1)</f>
        <v>3.1</v>
      </c>
    </row>
    <row r="47" ht="15" spans="1:4">
      <c r="A47" s="2" t="s">
        <v>81</v>
      </c>
      <c r="B47" s="2">
        <f>ROUND(全局参数!$B$20*POWER(全局参数!$B$5,44-1),0)</f>
        <v>163825</v>
      </c>
      <c r="C47" s="2">
        <f t="shared" si="0"/>
        <v>3038280</v>
      </c>
      <c r="D47" s="2">
        <f>ROUND(B47/全局参数!$B$7,1)</f>
        <v>3.3</v>
      </c>
    </row>
    <row r="48" ht="15" spans="1:4">
      <c r="A48" s="2" t="s">
        <v>82</v>
      </c>
      <c r="B48" s="2">
        <f>ROUND(全局参数!$B$20*POWER(全局参数!$B$5,45-1),0)</f>
        <v>172016</v>
      </c>
      <c r="C48" s="2">
        <f t="shared" si="0"/>
        <v>3210296</v>
      </c>
      <c r="D48" s="2">
        <f>ROUND(B48/全局参数!$B$7,1)</f>
        <v>3.4</v>
      </c>
    </row>
    <row r="49" ht="15" spans="1:4">
      <c r="A49" s="2" t="s">
        <v>83</v>
      </c>
      <c r="B49" s="2">
        <f>ROUND(全局参数!$B$20*POWER(全局参数!$B$5,46-1),0)</f>
        <v>180617</v>
      </c>
      <c r="C49" s="2">
        <f t="shared" si="0"/>
        <v>3390913</v>
      </c>
      <c r="D49" s="2">
        <f>ROUND(B49/全局参数!$B$7,1)</f>
        <v>3.6</v>
      </c>
    </row>
    <row r="50" ht="15" spans="1:4">
      <c r="A50" s="2" t="s">
        <v>84</v>
      </c>
      <c r="B50" s="2">
        <f>ROUND(全局参数!$B$20*POWER(全局参数!$B$5,47-1),0)</f>
        <v>189647</v>
      </c>
      <c r="C50" s="2">
        <f t="shared" si="0"/>
        <v>3580560</v>
      </c>
      <c r="D50" s="2">
        <f>ROUND(B50/全局参数!$B$7,1)</f>
        <v>3.8</v>
      </c>
    </row>
    <row r="51" ht="15" spans="1:4">
      <c r="A51" s="2" t="s">
        <v>85</v>
      </c>
      <c r="B51" s="2">
        <f>ROUND(全局参数!$B$20*POWER(全局参数!$B$5,48-1),0)</f>
        <v>199130</v>
      </c>
      <c r="C51" s="2">
        <f t="shared" si="0"/>
        <v>3779690</v>
      </c>
      <c r="D51" s="2">
        <f>ROUND(B51/全局参数!$B$7,1)</f>
        <v>4</v>
      </c>
    </row>
    <row r="52" ht="15" spans="1:4">
      <c r="A52" s="2" t="s">
        <v>86</v>
      </c>
      <c r="B52" s="2">
        <f>ROUND(全局参数!$B$20*POWER(全局参数!$B$5,49-1),0)</f>
        <v>209086</v>
      </c>
      <c r="C52" s="2">
        <f t="shared" si="0"/>
        <v>3988776</v>
      </c>
      <c r="D52" s="2">
        <f>ROUND(B52/全局参数!$B$7,1)</f>
        <v>4.2</v>
      </c>
    </row>
    <row r="53" ht="15" spans="1:4">
      <c r="A53" s="2" t="s">
        <v>87</v>
      </c>
      <c r="B53" s="2">
        <f>ROUND(全局参数!$B$20*POWER(全局参数!$B$5,50-1),0)</f>
        <v>219541</v>
      </c>
      <c r="C53" s="2">
        <f t="shared" si="0"/>
        <v>4208317</v>
      </c>
      <c r="D53" s="2">
        <f>ROUND(B53/全局参数!$B$7,1)</f>
        <v>4.4</v>
      </c>
    </row>
    <row r="54" ht="15" spans="1:4">
      <c r="A54" s="2" t="s">
        <v>88</v>
      </c>
      <c r="B54" s="2">
        <f>ROUND(全局参数!$B$20*POWER(全局参数!$B$5,51-1),0)</f>
        <v>230518</v>
      </c>
      <c r="C54" s="2">
        <f t="shared" si="0"/>
        <v>4438835</v>
      </c>
      <c r="D54" s="2">
        <f>ROUND(B54/全局参数!$B$7,1)</f>
        <v>4.6</v>
      </c>
    </row>
    <row r="55" ht="15" spans="1:4">
      <c r="A55" s="2" t="s">
        <v>89</v>
      </c>
      <c r="B55" s="2">
        <f>ROUND(全局参数!$B$20*POWER(全局参数!$B$5,52-1),0)</f>
        <v>242044</v>
      </c>
      <c r="C55" s="2">
        <f t="shared" si="0"/>
        <v>4680879</v>
      </c>
      <c r="D55" s="2">
        <f>ROUND(B55/全局参数!$B$7,1)</f>
        <v>4.8</v>
      </c>
    </row>
    <row r="56" ht="15" spans="1:4">
      <c r="A56" s="2" t="s">
        <v>90</v>
      </c>
      <c r="B56" s="2">
        <f>ROUND(全局参数!$B$20*POWER(全局参数!$B$5,53-1),0)</f>
        <v>254146</v>
      </c>
      <c r="C56" s="2">
        <f t="shared" si="0"/>
        <v>4935025</v>
      </c>
      <c r="D56" s="2">
        <f>ROUND(B56/全局参数!$B$7,1)</f>
        <v>5.1</v>
      </c>
    </row>
    <row r="57" ht="15" spans="1:4">
      <c r="A57" s="2" t="s">
        <v>91</v>
      </c>
      <c r="B57" s="2">
        <f>ROUND(全局参数!$B$20*POWER(全局参数!$B$5,54-1),0)</f>
        <v>266853</v>
      </c>
      <c r="C57" s="2">
        <f t="shared" si="0"/>
        <v>5201878</v>
      </c>
      <c r="D57" s="2">
        <f>ROUND(B57/全局参数!$B$7,1)</f>
        <v>5.3</v>
      </c>
    </row>
    <row r="58" ht="15" spans="1:4">
      <c r="A58" s="2" t="s">
        <v>92</v>
      </c>
      <c r="B58" s="2">
        <f>ROUND(全局参数!$B$20*POWER(全局参数!$B$5,55-1),0)</f>
        <v>280196</v>
      </c>
      <c r="C58" s="2">
        <f t="shared" si="0"/>
        <v>5482074</v>
      </c>
      <c r="D58" s="2">
        <f>ROUND(B58/全局参数!$B$7,1)</f>
        <v>5.6</v>
      </c>
    </row>
    <row r="59" ht="15" spans="1:4">
      <c r="A59" s="2" t="s">
        <v>93</v>
      </c>
      <c r="B59" s="2">
        <f>ROUND(全局参数!$B$20*POWER(全局参数!$B$5,56-1),0)</f>
        <v>294205</v>
      </c>
      <c r="C59" s="2">
        <f t="shared" si="0"/>
        <v>5776279</v>
      </c>
      <c r="D59" s="2">
        <f>ROUND(B59/全局参数!$B$7,1)</f>
        <v>5.9</v>
      </c>
    </row>
    <row r="60" ht="15" spans="1:4">
      <c r="A60" s="2" t="s">
        <v>94</v>
      </c>
      <c r="B60" s="2">
        <f>ROUND(全局参数!$B$20*POWER(全局参数!$B$5,57-1),0)</f>
        <v>308916</v>
      </c>
      <c r="C60" s="2">
        <f t="shared" si="0"/>
        <v>6085195</v>
      </c>
      <c r="D60" s="2">
        <f>ROUND(B60/全局参数!$B$7,1)</f>
        <v>6.2</v>
      </c>
    </row>
    <row r="61" ht="15" spans="1:4">
      <c r="A61" s="2" t="s">
        <v>95</v>
      </c>
      <c r="B61" s="2">
        <f>ROUND(全局参数!$B$20*POWER(全局参数!$B$5,58-1),0)</f>
        <v>324362</v>
      </c>
      <c r="C61" s="2">
        <f t="shared" si="0"/>
        <v>6409557</v>
      </c>
      <c r="D61" s="2">
        <f>ROUND(B61/全局参数!$B$7,1)</f>
        <v>6.5</v>
      </c>
    </row>
    <row r="62" ht="15" spans="1:4">
      <c r="A62" s="2" t="s">
        <v>96</v>
      </c>
      <c r="B62" s="2">
        <f>ROUND(全局参数!$B$20*POWER(全局参数!$B$5,59-1),0)</f>
        <v>340580</v>
      </c>
      <c r="C62" s="2">
        <f t="shared" si="0"/>
        <v>6750137</v>
      </c>
      <c r="D62" s="2">
        <f>ROUND(B62/全局参数!$B$7,1)</f>
        <v>6.8</v>
      </c>
    </row>
    <row r="63" ht="15.6" spans="1:4">
      <c r="A63" s="5" t="s">
        <v>97</v>
      </c>
      <c r="B63" s="7">
        <f>SUM(B4:B62)</f>
        <v>6750137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4" sqref="C4"/>
    </sheetView>
  </sheetViews>
  <sheetFormatPr defaultColWidth="9" defaultRowHeight="14.4" outlineLevelCol="2"/>
  <cols>
    <col min="1" max="1" width="14" customWidth="1"/>
    <col min="2" max="2" width="20" customWidth="1"/>
    <col min="3" max="3" width="40" customWidth="1"/>
  </cols>
  <sheetData>
    <row r="1" ht="17.4" spans="1:3">
      <c r="A1" s="3" t="s">
        <v>98</v>
      </c>
    </row>
    <row r="3" ht="15.6" spans="1:3">
      <c r="A3" s="1" t="s">
        <v>99</v>
      </c>
      <c r="B3" s="1" t="s">
        <v>100</v>
      </c>
      <c r="C3" s="1" t="s">
        <v>101</v>
      </c>
    </row>
    <row r="4" ht="15" spans="1:3">
      <c r="A4" s="2" t="s">
        <v>102</v>
      </c>
      <c r="B4" s="2">
        <f>全局参数!$B$11*POWER(2,0)</f>
        <v>100000</v>
      </c>
      <c r="C4" s="2" t="s">
        <v>103</v>
      </c>
    </row>
    <row r="5" ht="15" spans="1:3">
      <c r="A5" s="2" t="s">
        <v>104</v>
      </c>
      <c r="B5" s="2">
        <f>全局参数!$B$11*POWER(2,1)</f>
        <v>200000</v>
      </c>
      <c r="C5" s="2" t="s">
        <v>103</v>
      </c>
    </row>
    <row r="6" ht="15" spans="1:3">
      <c r="A6" s="2" t="s">
        <v>105</v>
      </c>
      <c r="B6" s="2">
        <f>全局参数!$B$11*POWER(2,2)</f>
        <v>400000</v>
      </c>
      <c r="C6" s="2" t="s">
        <v>103</v>
      </c>
    </row>
    <row r="7" ht="15" spans="1:3">
      <c r="A7" s="2" t="s">
        <v>106</v>
      </c>
      <c r="B7" s="2">
        <f>全局参数!$B$11*POWER(2,3)</f>
        <v>800000</v>
      </c>
      <c r="C7" s="2" t="s">
        <v>103</v>
      </c>
    </row>
    <row r="8" ht="15" spans="1:3">
      <c r="A8" s="2" t="s">
        <v>107</v>
      </c>
      <c r="B8" s="2">
        <f>全局参数!$B$11*POWER(2,4)</f>
        <v>1600000</v>
      </c>
      <c r="C8" s="2" t="s">
        <v>103</v>
      </c>
    </row>
    <row r="9" ht="15.6" spans="1:3">
      <c r="A9" s="5" t="s">
        <v>108</v>
      </c>
      <c r="B9" s="7">
        <f>SUM(B4:B8)</f>
        <v>3100000</v>
      </c>
    </row>
    <row r="10" spans="1:3">
      <c r="A10" s="6" t="s">
        <v>109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D10" sqref="D10"/>
    </sheetView>
  </sheetViews>
  <sheetFormatPr defaultColWidth="9" defaultRowHeight="14.4" outlineLevelCol="4"/>
  <cols>
    <col min="1" max="2" width="10" customWidth="1"/>
    <col min="3" max="3" width="18" customWidth="1"/>
    <col min="4" max="5" width="22" customWidth="1"/>
  </cols>
  <sheetData>
    <row r="1" ht="17.4" spans="1:5">
      <c r="A1" s="3" t="s">
        <v>110</v>
      </c>
    </row>
    <row r="3" ht="15.6" spans="1:5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</row>
    <row r="4" ht="15" spans="1:5">
      <c r="A4" s="2" t="s">
        <v>116</v>
      </c>
      <c r="B4" s="2" t="s">
        <v>117</v>
      </c>
      <c r="C4" s="2">
        <f>ROUND(10*POWER(2,0),0)</f>
        <v>10</v>
      </c>
      <c r="D4" s="2">
        <v>1</v>
      </c>
      <c r="E4" s="2" t="s">
        <v>118</v>
      </c>
    </row>
    <row r="5" ht="15" spans="1:5">
      <c r="A5" s="2" t="s">
        <v>116</v>
      </c>
      <c r="B5" s="2" t="s">
        <v>119</v>
      </c>
      <c r="C5" s="2">
        <f>ROUND(10*POWER(2,0),0)</f>
        <v>10</v>
      </c>
      <c r="D5" s="2">
        <v>1</v>
      </c>
      <c r="E5" s="2" t="s">
        <v>118</v>
      </c>
    </row>
    <row r="6" ht="15" spans="1:5">
      <c r="A6" s="2" t="s">
        <v>116</v>
      </c>
      <c r="B6" s="2" t="s">
        <v>120</v>
      </c>
      <c r="C6" s="2">
        <f>ROUND(10*POWER(2,0),0)</f>
        <v>10</v>
      </c>
      <c r="D6" s="2">
        <v>1</v>
      </c>
      <c r="E6" s="2" t="s">
        <v>118</v>
      </c>
    </row>
    <row r="7" ht="15" spans="1:5">
      <c r="A7" s="2" t="s">
        <v>116</v>
      </c>
      <c r="B7" s="2" t="s">
        <v>121</v>
      </c>
      <c r="C7" s="2">
        <f>ROUND(10*POWER(2,0),0)</f>
        <v>10</v>
      </c>
      <c r="D7" s="2">
        <v>1</v>
      </c>
      <c r="E7" s="2" t="s">
        <v>118</v>
      </c>
    </row>
    <row r="8" ht="15" spans="1:5">
      <c r="A8" s="2" t="s">
        <v>116</v>
      </c>
      <c r="B8" s="2" t="s">
        <v>122</v>
      </c>
      <c r="C8" s="2">
        <f>ROUND(10*POWER(2,0),0)</f>
        <v>10</v>
      </c>
      <c r="D8" s="2">
        <v>1</v>
      </c>
      <c r="E8" s="2" t="s">
        <v>118</v>
      </c>
    </row>
    <row r="9" ht="15" spans="1:5">
      <c r="A9" s="2" t="s">
        <v>123</v>
      </c>
      <c r="B9" s="2" t="s">
        <v>117</v>
      </c>
      <c r="C9" s="2">
        <f>ROUND(10*POWER(2,1),0)</f>
        <v>20</v>
      </c>
      <c r="D9" s="2">
        <v>1</v>
      </c>
      <c r="E9" s="2" t="s">
        <v>124</v>
      </c>
    </row>
    <row r="10" ht="15" spans="1:5">
      <c r="A10" s="2" t="s">
        <v>123</v>
      </c>
      <c r="B10" s="2" t="s">
        <v>119</v>
      </c>
      <c r="C10" s="2">
        <f>ROUND(10*POWER(2,1),0)</f>
        <v>20</v>
      </c>
      <c r="D10" s="2">
        <v>1</v>
      </c>
      <c r="E10" s="2" t="s">
        <v>124</v>
      </c>
    </row>
    <row r="11" ht="15" spans="1:5">
      <c r="A11" s="2" t="s">
        <v>123</v>
      </c>
      <c r="B11" s="2" t="s">
        <v>120</v>
      </c>
      <c r="C11" s="2">
        <f>ROUND(10*POWER(2,1),0)</f>
        <v>20</v>
      </c>
      <c r="D11" s="2">
        <v>1</v>
      </c>
      <c r="E11" s="2" t="s">
        <v>124</v>
      </c>
    </row>
    <row r="12" ht="15" spans="1:5">
      <c r="A12" s="2" t="s">
        <v>123</v>
      </c>
      <c r="B12" s="2" t="s">
        <v>121</v>
      </c>
      <c r="C12" s="2">
        <f>ROUND(10*POWER(2,1),0)</f>
        <v>20</v>
      </c>
      <c r="D12" s="2">
        <v>1</v>
      </c>
      <c r="E12" s="2" t="s">
        <v>124</v>
      </c>
    </row>
    <row r="13" ht="15" spans="1:5">
      <c r="A13" s="2" t="s">
        <v>123</v>
      </c>
      <c r="B13" s="2" t="s">
        <v>122</v>
      </c>
      <c r="C13" s="2">
        <f>ROUND(10*POWER(2,1),0)</f>
        <v>20</v>
      </c>
      <c r="D13" s="2">
        <v>1</v>
      </c>
      <c r="E13" s="2" t="s">
        <v>124</v>
      </c>
    </row>
    <row r="14" ht="15" spans="1:5">
      <c r="A14" s="2" t="s">
        <v>125</v>
      </c>
      <c r="B14" s="2" t="s">
        <v>117</v>
      </c>
      <c r="C14" s="2">
        <f>ROUND(10*POWER(2,2),0)</f>
        <v>40</v>
      </c>
      <c r="D14" s="2">
        <v>1</v>
      </c>
      <c r="E14" s="2" t="s">
        <v>126</v>
      </c>
    </row>
    <row r="15" ht="15" spans="1:5">
      <c r="A15" s="2" t="s">
        <v>125</v>
      </c>
      <c r="B15" s="2" t="s">
        <v>119</v>
      </c>
      <c r="C15" s="2">
        <f>ROUND(10*POWER(2,2),0)</f>
        <v>40</v>
      </c>
      <c r="D15" s="2">
        <v>1</v>
      </c>
      <c r="E15" s="2" t="s">
        <v>126</v>
      </c>
    </row>
    <row r="16" ht="15" spans="1:5">
      <c r="A16" s="2" t="s">
        <v>125</v>
      </c>
      <c r="B16" s="2" t="s">
        <v>120</v>
      </c>
      <c r="C16" s="2">
        <f>ROUND(10*POWER(2,2),0)</f>
        <v>40</v>
      </c>
      <c r="D16" s="2">
        <v>1</v>
      </c>
      <c r="E16" s="2" t="s">
        <v>126</v>
      </c>
    </row>
    <row r="17" ht="15" spans="1:5">
      <c r="A17" s="2" t="s">
        <v>125</v>
      </c>
      <c r="B17" s="2" t="s">
        <v>121</v>
      </c>
      <c r="C17" s="2">
        <f>ROUND(10*POWER(2,2),0)</f>
        <v>40</v>
      </c>
      <c r="D17" s="2">
        <v>1</v>
      </c>
      <c r="E17" s="2" t="s">
        <v>126</v>
      </c>
    </row>
    <row r="18" ht="15" spans="1:5">
      <c r="A18" s="2" t="s">
        <v>125</v>
      </c>
      <c r="B18" s="2" t="s">
        <v>122</v>
      </c>
      <c r="C18" s="2">
        <f>ROUND(10*POWER(2,2),0)</f>
        <v>40</v>
      </c>
      <c r="D18" s="2">
        <v>1</v>
      </c>
      <c r="E18" s="2" t="s">
        <v>126</v>
      </c>
    </row>
    <row r="19" ht="15" spans="1:5">
      <c r="A19" s="2" t="s">
        <v>127</v>
      </c>
      <c r="B19" s="2" t="s">
        <v>117</v>
      </c>
      <c r="C19" s="2">
        <f>ROUND(10*POWER(2,3),0)</f>
        <v>80</v>
      </c>
      <c r="D19" s="2">
        <v>1</v>
      </c>
      <c r="E19" s="2" t="s">
        <v>128</v>
      </c>
    </row>
    <row r="20" ht="15" spans="1:5">
      <c r="A20" s="2" t="s">
        <v>127</v>
      </c>
      <c r="B20" s="2" t="s">
        <v>119</v>
      </c>
      <c r="C20" s="2">
        <f>ROUND(10*POWER(2,3),0)</f>
        <v>80</v>
      </c>
      <c r="D20" s="2">
        <v>1</v>
      </c>
      <c r="E20" s="2" t="s">
        <v>128</v>
      </c>
    </row>
    <row r="21" ht="15" spans="1:5">
      <c r="A21" s="2" t="s">
        <v>127</v>
      </c>
      <c r="B21" s="2" t="s">
        <v>120</v>
      </c>
      <c r="C21" s="2">
        <f>ROUND(10*POWER(2,3),0)</f>
        <v>80</v>
      </c>
      <c r="D21" s="2">
        <v>1</v>
      </c>
      <c r="E21" s="2" t="s">
        <v>128</v>
      </c>
    </row>
    <row r="22" ht="15" spans="1:5">
      <c r="A22" s="2" t="s">
        <v>127</v>
      </c>
      <c r="B22" s="2" t="s">
        <v>121</v>
      </c>
      <c r="C22" s="2">
        <f>ROUND(10*POWER(2,3),0)</f>
        <v>80</v>
      </c>
      <c r="D22" s="2">
        <v>1</v>
      </c>
      <c r="E22" s="2" t="s">
        <v>128</v>
      </c>
    </row>
    <row r="23" ht="15" spans="1:5">
      <c r="A23" s="2" t="s">
        <v>127</v>
      </c>
      <c r="B23" s="2" t="s">
        <v>122</v>
      </c>
      <c r="C23" s="2">
        <f>ROUND(10*POWER(2,3),0)</f>
        <v>80</v>
      </c>
      <c r="D23" s="2">
        <v>1</v>
      </c>
      <c r="E23" s="2" t="s">
        <v>128</v>
      </c>
    </row>
    <row r="24" ht="15" spans="1:5">
      <c r="A24" s="2" t="s">
        <v>129</v>
      </c>
      <c r="B24" s="2" t="s">
        <v>117</v>
      </c>
      <c r="C24" s="2">
        <f>ROUND(10*POWER(2,4),0)</f>
        <v>160</v>
      </c>
      <c r="D24" s="2">
        <v>1</v>
      </c>
      <c r="E24" s="2" t="s">
        <v>130</v>
      </c>
    </row>
    <row r="25" ht="15" spans="1:5">
      <c r="A25" s="2" t="s">
        <v>129</v>
      </c>
      <c r="B25" s="2" t="s">
        <v>119</v>
      </c>
      <c r="C25" s="2">
        <f>ROUND(10*POWER(2,4),0)</f>
        <v>160</v>
      </c>
      <c r="D25" s="2">
        <v>1</v>
      </c>
      <c r="E25" s="2" t="s">
        <v>130</v>
      </c>
    </row>
    <row r="26" ht="15" spans="1:5">
      <c r="A26" s="2" t="s">
        <v>129</v>
      </c>
      <c r="B26" s="2" t="s">
        <v>120</v>
      </c>
      <c r="C26" s="2">
        <f>ROUND(10*POWER(2,4),0)</f>
        <v>160</v>
      </c>
      <c r="D26" s="2">
        <v>1</v>
      </c>
      <c r="E26" s="2" t="s">
        <v>130</v>
      </c>
    </row>
    <row r="27" ht="15" spans="1:5">
      <c r="A27" s="2" t="s">
        <v>129</v>
      </c>
      <c r="B27" s="2" t="s">
        <v>121</v>
      </c>
      <c r="C27" s="2">
        <f>ROUND(10*POWER(2,4),0)</f>
        <v>160</v>
      </c>
      <c r="D27" s="2">
        <v>1</v>
      </c>
      <c r="E27" s="2" t="s">
        <v>130</v>
      </c>
    </row>
    <row r="28" ht="15" spans="1:5">
      <c r="A28" s="2" t="s">
        <v>129</v>
      </c>
      <c r="B28" s="2" t="s">
        <v>122</v>
      </c>
      <c r="C28" s="2">
        <f>ROUND(10*POWER(2,4),0)</f>
        <v>160</v>
      </c>
      <c r="D28" s="2">
        <v>1</v>
      </c>
      <c r="E28" s="2" t="s">
        <v>130</v>
      </c>
    </row>
    <row r="29" ht="15.6" spans="1:5">
      <c r="A29" s="5" t="s">
        <v>108</v>
      </c>
      <c r="C29" s="7">
        <f>SUM(C4:C28)</f>
        <v>1550</v>
      </c>
      <c r="D29" s="7">
        <f>SUM(D4:D28)</f>
        <v>25</v>
      </c>
    </row>
    <row r="30" spans="1:5">
      <c r="A30" s="6" t="s">
        <v>131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.4" outlineLevelCol="1"/>
  <cols>
    <col min="1" max="1" width="10" customWidth="1"/>
    <col min="2" max="2" width="20" customWidth="1"/>
  </cols>
  <sheetData>
    <row r="1" ht="17.4" spans="1:2">
      <c r="A1" s="3" t="s">
        <v>132</v>
      </c>
    </row>
    <row r="3" ht="15.6" spans="1:2">
      <c r="A3" s="1" t="s">
        <v>133</v>
      </c>
      <c r="B3" s="1" t="s">
        <v>134</v>
      </c>
    </row>
    <row r="4" ht="15" spans="1:2">
      <c r="A4" s="2" t="s">
        <v>135</v>
      </c>
      <c r="B4" s="2">
        <f>ROUND(全局参数!$B$12*POWER(1.15,0),0)</f>
        <v>8000</v>
      </c>
    </row>
    <row r="5" ht="15" spans="1:2">
      <c r="A5" s="2" t="s">
        <v>136</v>
      </c>
      <c r="B5" s="2">
        <f>ROUND(全局参数!$B$12*POWER(1.15,1),0)</f>
        <v>9200</v>
      </c>
    </row>
    <row r="6" ht="15" spans="1:2">
      <c r="A6" s="2" t="s">
        <v>137</v>
      </c>
      <c r="B6" s="2">
        <f>ROUND(全局参数!$B$12*POWER(1.15,2),0)</f>
        <v>10580</v>
      </c>
    </row>
    <row r="7" ht="15" spans="1:2">
      <c r="A7" s="2" t="s">
        <v>138</v>
      </c>
      <c r="B7" s="2">
        <f>ROUND(全局参数!$B$12*POWER(1.15,3),0)</f>
        <v>12167</v>
      </c>
    </row>
    <row r="8" ht="15" spans="1:2">
      <c r="A8" s="2" t="s">
        <v>139</v>
      </c>
      <c r="B8" s="2">
        <f>ROUND(全局参数!$B$12*POWER(1.15,4),0)</f>
        <v>13992</v>
      </c>
    </row>
    <row r="9" ht="15" spans="1:2">
      <c r="A9" s="2" t="s">
        <v>140</v>
      </c>
      <c r="B9" s="2">
        <f>ROUND(全局参数!$B$12*POWER(1.15,5),0)</f>
        <v>16091</v>
      </c>
    </row>
    <row r="10" ht="15" spans="1:2">
      <c r="A10" s="2" t="s">
        <v>141</v>
      </c>
      <c r="B10" s="2">
        <f>ROUND(全局参数!$B$12*POWER(1.15,6),0)</f>
        <v>18504</v>
      </c>
    </row>
    <row r="11" ht="15" spans="1:2">
      <c r="A11" s="2" t="s">
        <v>142</v>
      </c>
      <c r="B11" s="2">
        <f>ROUND(全局参数!$B$12*POWER(1.15,7),0)</f>
        <v>21280</v>
      </c>
    </row>
    <row r="12" ht="15" spans="1:2">
      <c r="A12" s="2" t="s">
        <v>143</v>
      </c>
      <c r="B12" s="2">
        <f>ROUND(全局参数!$B$12*POWER(1.15,8),0)</f>
        <v>24472</v>
      </c>
    </row>
    <row r="13" ht="15" spans="1:2">
      <c r="A13" s="2" t="s">
        <v>144</v>
      </c>
      <c r="B13" s="2">
        <f>ROUND(全局参数!$B$12*POWER(1.15,9),0)</f>
        <v>28143</v>
      </c>
    </row>
    <row r="14" ht="15" spans="1:2">
      <c r="A14" s="2" t="s">
        <v>145</v>
      </c>
      <c r="B14" s="2">
        <f>ROUND(全局参数!$B$12*POWER(1.15,10),0)</f>
        <v>32364</v>
      </c>
    </row>
    <row r="15" ht="15" spans="1:2">
      <c r="A15" s="2" t="s">
        <v>146</v>
      </c>
      <c r="B15" s="2">
        <f>ROUND(全局参数!$B$12*POWER(1.15,11),0)</f>
        <v>37219</v>
      </c>
    </row>
    <row r="16" ht="15" spans="1:2">
      <c r="A16" s="2" t="s">
        <v>147</v>
      </c>
      <c r="B16" s="2">
        <f>ROUND(全局参数!$B$12*POWER(1.15,12),0)</f>
        <v>42802</v>
      </c>
    </row>
    <row r="17" ht="15" spans="1:2">
      <c r="A17" s="2" t="s">
        <v>148</v>
      </c>
      <c r="B17" s="2">
        <f>ROUND(全局参数!$B$12*POWER(1.15,13),0)</f>
        <v>49222</v>
      </c>
    </row>
    <row r="18" ht="15" spans="1:2">
      <c r="A18" s="2" t="s">
        <v>149</v>
      </c>
      <c r="B18" s="2">
        <f>ROUND(全局参数!$B$12*POWER(1.15,14),0)</f>
        <v>56606</v>
      </c>
    </row>
    <row r="19" ht="15.6" spans="1:2">
      <c r="A19" s="5" t="s">
        <v>150</v>
      </c>
      <c r="B19" s="7">
        <f>SUM(B4:B18)</f>
        <v>380642</v>
      </c>
    </row>
    <row r="20" ht="15.6" spans="1:2">
      <c r="A20" s="8" t="s">
        <v>151</v>
      </c>
      <c r="B20" s="5">
        <f>B19*全局参数!$B$13</f>
        <v>2283852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opLeftCell="A58" workbookViewId="0">
      <selection activeCell="F7" sqref="F7"/>
    </sheetView>
  </sheetViews>
  <sheetFormatPr defaultColWidth="9" defaultRowHeight="14.4" outlineLevelCol="5"/>
  <cols>
    <col min="1" max="1" width="10" customWidth="1"/>
    <col min="2" max="6" width="14" customWidth="1"/>
    <col min="7" max="7" width="18" customWidth="1"/>
  </cols>
  <sheetData>
    <row r="1" ht="17.4" spans="1:6">
      <c r="A1" s="3" t="s">
        <v>152</v>
      </c>
    </row>
    <row r="3" ht="15.6" spans="1:6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</row>
    <row r="4" ht="15" spans="1:6">
      <c r="A4" s="2">
        <v>1</v>
      </c>
      <c r="B4" s="2">
        <f>MIN(1,ROUND(1*全局参数!$B$4/等级经验表!$B$63,3))</f>
        <v>0.022</v>
      </c>
      <c r="C4" s="2">
        <f>MIN(1,ROUND(1*全局参数!$B$8*0.4/(升星表!$B$9+0.0001),3))</f>
        <v>0.052</v>
      </c>
      <c r="D4" s="2">
        <f>MIN(1,ROUND(1*全局参数!$B$9/(觉醒表!$D$29+0.0001),3))</f>
        <v>0.04</v>
      </c>
      <c r="E4" s="2">
        <f>MIN(1,ROUND(1*全局参数!$B$8*0.6/(装备强化表!$B$20+0.0001),3))</f>
        <v>0.105</v>
      </c>
      <c r="F4" s="2">
        <f ca="1" t="shared" ref="F4:F67" si="0">ROUND(0.35*C4+0.15*D4+0.15*E4+0.35*F4,3)</f>
        <v>0</v>
      </c>
    </row>
    <row r="5" ht="15" spans="1:6">
      <c r="A5" s="2">
        <v>2</v>
      </c>
      <c r="B5" s="2">
        <f>MIN(1,ROUND(2*全局参数!$B$4/等级经验表!$B$63,3))</f>
        <v>0.044</v>
      </c>
      <c r="C5" s="2">
        <f>MIN(1,ROUND(2*全局参数!$B$8*0.4/(升星表!$B$9+0.0001),3))</f>
        <v>0.103</v>
      </c>
      <c r="D5" s="2">
        <f>MIN(1,ROUND(2*全局参数!$B$9/(觉醒表!$D$29+0.0001),3))</f>
        <v>0.08</v>
      </c>
      <c r="E5" s="2">
        <f>MIN(1,ROUND(2*全局参数!$B$8*0.6/(装备强化表!$B$20+0.0001),3))</f>
        <v>0.21</v>
      </c>
      <c r="F5" s="2">
        <f ca="1" t="shared" si="0"/>
        <v>0</v>
      </c>
    </row>
    <row r="6" ht="15" spans="1:6">
      <c r="A6" s="2">
        <v>3</v>
      </c>
      <c r="B6" s="2">
        <f>MIN(1,ROUND(3*全局参数!$B$4/等级经验表!$B$63,3))</f>
        <v>0.067</v>
      </c>
      <c r="C6" s="2">
        <f>MIN(1,ROUND(3*全局参数!$B$8*0.4/(升星表!$B$9+0.0001),3))</f>
        <v>0.155</v>
      </c>
      <c r="D6" s="2">
        <f>MIN(1,ROUND(3*全局参数!$B$9/(觉醒表!$D$29+0.0001),3))</f>
        <v>0.12</v>
      </c>
      <c r="E6" s="2">
        <f>MIN(1,ROUND(3*全局参数!$B$8*0.6/(装备强化表!$B$20+0.0001),3))</f>
        <v>0.315</v>
      </c>
      <c r="F6" s="2">
        <f ca="1" t="shared" si="0"/>
        <v>0</v>
      </c>
    </row>
    <row r="7" ht="15" spans="1:6">
      <c r="A7" s="2">
        <v>4</v>
      </c>
      <c r="B7" s="2">
        <f>MIN(1,ROUND(4*全局参数!$B$4/等级经验表!$B$63,3))</f>
        <v>0.089</v>
      </c>
      <c r="C7" s="2">
        <f>MIN(1,ROUND(4*全局参数!$B$8*0.4/(升星表!$B$9+0.0001),3))</f>
        <v>0.206</v>
      </c>
      <c r="D7" s="2">
        <f>MIN(1,ROUND(4*全局参数!$B$9/(觉醒表!$D$29+0.0001),3))</f>
        <v>0.16</v>
      </c>
      <c r="E7" s="2">
        <f>MIN(1,ROUND(4*全局参数!$B$8*0.6/(装备强化表!$B$20+0.0001),3))</f>
        <v>0.42</v>
      </c>
      <c r="F7" s="2">
        <f ca="1" t="shared" si="0"/>
        <v>0</v>
      </c>
    </row>
    <row r="8" ht="15" spans="1:6">
      <c r="A8" s="2">
        <v>5</v>
      </c>
      <c r="B8" s="2">
        <f>MIN(1,ROUND(5*全局参数!$B$4/等级经验表!$B$63,3))</f>
        <v>0.111</v>
      </c>
      <c r="C8" s="2">
        <f>MIN(1,ROUND(5*全局参数!$B$8*0.4/(升星表!$B$9+0.0001),3))</f>
        <v>0.258</v>
      </c>
      <c r="D8" s="2">
        <f>MIN(1,ROUND(5*全局参数!$B$9/(觉醒表!$D$29+0.0001),3))</f>
        <v>0.2</v>
      </c>
      <c r="E8" s="2">
        <f>MIN(1,ROUND(5*全局参数!$B$8*0.6/(装备强化表!$B$20+0.0001),3))</f>
        <v>0.525</v>
      </c>
      <c r="F8" s="2">
        <f ca="1" t="shared" si="0"/>
        <v>0</v>
      </c>
    </row>
    <row r="9" ht="15" spans="1:6">
      <c r="A9" s="2">
        <v>6</v>
      </c>
      <c r="B9" s="2">
        <f>MIN(1,ROUND(6*全局参数!$B$4/等级经验表!$B$63,3))</f>
        <v>0.133</v>
      </c>
      <c r="C9" s="2">
        <f>MIN(1,ROUND(6*全局参数!$B$8*0.4/(升星表!$B$9+0.0001),3))</f>
        <v>0.31</v>
      </c>
      <c r="D9" s="2">
        <f>MIN(1,ROUND(6*全局参数!$B$9/(觉醒表!$D$29+0.0001),3))</f>
        <v>0.24</v>
      </c>
      <c r="E9" s="2">
        <f>MIN(1,ROUND(6*全局参数!$B$8*0.6/(装备强化表!$B$20+0.0001),3))</f>
        <v>0.631</v>
      </c>
      <c r="F9" s="2">
        <f ca="1" t="shared" si="0"/>
        <v>0</v>
      </c>
    </row>
    <row r="10" ht="15" spans="1:6">
      <c r="A10" s="2">
        <v>7</v>
      </c>
      <c r="B10" s="2">
        <f>MIN(1,ROUND(7*全局参数!$B$4/等级经验表!$B$63,3))</f>
        <v>0.156</v>
      </c>
      <c r="C10" s="2">
        <f>MIN(1,ROUND(7*全局参数!$B$8*0.4/(升星表!$B$9+0.0001),3))</f>
        <v>0.361</v>
      </c>
      <c r="D10" s="2">
        <f>MIN(1,ROUND(7*全局参数!$B$9/(觉醒表!$D$29+0.0001),3))</f>
        <v>0.28</v>
      </c>
      <c r="E10" s="2">
        <f>MIN(1,ROUND(7*全局参数!$B$8*0.6/(装备强化表!$B$20+0.0001),3))</f>
        <v>0.736</v>
      </c>
      <c r="F10" s="2">
        <f ca="1" t="shared" si="0"/>
        <v>0</v>
      </c>
    </row>
    <row r="11" ht="15" spans="1:6">
      <c r="A11" s="2">
        <v>8</v>
      </c>
      <c r="B11" s="2">
        <f>MIN(1,ROUND(8*全局参数!$B$4/等级经验表!$B$63,3))</f>
        <v>0.178</v>
      </c>
      <c r="C11" s="2">
        <f>MIN(1,ROUND(8*全局参数!$B$8*0.4/(升星表!$B$9+0.0001),3))</f>
        <v>0.413</v>
      </c>
      <c r="D11" s="2">
        <f>MIN(1,ROUND(8*全局参数!$B$9/(觉醒表!$D$29+0.0001),3))</f>
        <v>0.32</v>
      </c>
      <c r="E11" s="2">
        <f>MIN(1,ROUND(8*全局参数!$B$8*0.6/(装备强化表!$B$20+0.0001),3))</f>
        <v>0.841</v>
      </c>
      <c r="F11" s="2">
        <f ca="1" t="shared" si="0"/>
        <v>0</v>
      </c>
    </row>
    <row r="12" ht="15" spans="1:6">
      <c r="A12" s="2">
        <v>9</v>
      </c>
      <c r="B12" s="2">
        <f>MIN(1,ROUND(9*全局参数!$B$4/等级经验表!$B$63,3))</f>
        <v>0.2</v>
      </c>
      <c r="C12" s="2">
        <f>MIN(1,ROUND(9*全局参数!$B$8*0.4/(升星表!$B$9+0.0001),3))</f>
        <v>0.465</v>
      </c>
      <c r="D12" s="2">
        <f>MIN(1,ROUND(9*全局参数!$B$9/(觉醒表!$D$29+0.0001),3))</f>
        <v>0.36</v>
      </c>
      <c r="E12" s="2">
        <f>MIN(1,ROUND(9*全局参数!$B$8*0.6/(装备强化表!$B$20+0.0001),3))</f>
        <v>0.946</v>
      </c>
      <c r="F12" s="2">
        <f ca="1" t="shared" si="0"/>
        <v>0</v>
      </c>
    </row>
    <row r="13" ht="15" spans="1:6">
      <c r="A13" s="2">
        <v>10</v>
      </c>
      <c r="B13" s="2">
        <f>MIN(1,ROUND(10*全局参数!$B$4/等级经验表!$B$63,3))</f>
        <v>0.222</v>
      </c>
      <c r="C13" s="2">
        <f>MIN(1,ROUND(10*全局参数!$B$8*0.4/(升星表!$B$9+0.0001),3))</f>
        <v>0.516</v>
      </c>
      <c r="D13" s="2">
        <f>MIN(1,ROUND(10*全局参数!$B$9/(觉醒表!$D$29+0.0001),3))</f>
        <v>0.4</v>
      </c>
      <c r="E13" s="2">
        <f>MIN(1,ROUND(10*全局参数!$B$8*0.6/(装备强化表!$B$20+0.0001),3))</f>
        <v>1</v>
      </c>
      <c r="F13" s="2">
        <f ca="1" t="shared" si="0"/>
        <v>0</v>
      </c>
    </row>
    <row r="14" ht="15" spans="1:6">
      <c r="A14" s="2">
        <v>11</v>
      </c>
      <c r="B14" s="2">
        <f>MIN(1,ROUND(11*全局参数!$B$4/等级经验表!$B$63,3))</f>
        <v>0.244</v>
      </c>
      <c r="C14" s="2">
        <f>MIN(1,ROUND(11*全局参数!$B$8*0.4/(升星表!$B$9+0.0001),3))</f>
        <v>0.568</v>
      </c>
      <c r="D14" s="2">
        <f>MIN(1,ROUND(11*全局参数!$B$9/(觉醒表!$D$29+0.0001),3))</f>
        <v>0.44</v>
      </c>
      <c r="E14" s="2">
        <f>MIN(1,ROUND(11*全局参数!$B$8*0.6/(装备强化表!$B$20+0.0001),3))</f>
        <v>1</v>
      </c>
      <c r="F14" s="2">
        <f ca="1" t="shared" si="0"/>
        <v>0</v>
      </c>
    </row>
    <row r="15" ht="15" spans="1:6">
      <c r="A15" s="2">
        <v>12</v>
      </c>
      <c r="B15" s="2">
        <f>MIN(1,ROUND(12*全局参数!$B$4/等级经验表!$B$63,3))</f>
        <v>0.267</v>
      </c>
      <c r="C15" s="2">
        <f>MIN(1,ROUND(12*全局参数!$B$8*0.4/(升星表!$B$9+0.0001),3))</f>
        <v>0.619</v>
      </c>
      <c r="D15" s="2">
        <f>MIN(1,ROUND(12*全局参数!$B$9/(觉醒表!$D$29+0.0001),3))</f>
        <v>0.48</v>
      </c>
      <c r="E15" s="2">
        <f>MIN(1,ROUND(12*全局参数!$B$8*0.6/(装备强化表!$B$20+0.0001),3))</f>
        <v>1</v>
      </c>
      <c r="F15" s="2">
        <f ca="1" t="shared" si="0"/>
        <v>0</v>
      </c>
    </row>
    <row r="16" ht="15" spans="1:6">
      <c r="A16" s="2">
        <v>13</v>
      </c>
      <c r="B16" s="2">
        <f>MIN(1,ROUND(13*全局参数!$B$4/等级经验表!$B$63,3))</f>
        <v>0.289</v>
      </c>
      <c r="C16" s="2">
        <f>MIN(1,ROUND(13*全局参数!$B$8*0.4/(升星表!$B$9+0.0001),3))</f>
        <v>0.671</v>
      </c>
      <c r="D16" s="2">
        <f>MIN(1,ROUND(13*全局参数!$B$9/(觉醒表!$D$29+0.0001),3))</f>
        <v>0.52</v>
      </c>
      <c r="E16" s="2">
        <f>MIN(1,ROUND(13*全局参数!$B$8*0.6/(装备强化表!$B$20+0.0001),3))</f>
        <v>1</v>
      </c>
      <c r="F16" s="2">
        <f ca="1" t="shared" si="0"/>
        <v>0</v>
      </c>
    </row>
    <row r="17" ht="15" spans="1:6">
      <c r="A17" s="2">
        <v>14</v>
      </c>
      <c r="B17" s="2">
        <f>MIN(1,ROUND(14*全局参数!$B$4/等级经验表!$B$63,3))</f>
        <v>0.311</v>
      </c>
      <c r="C17" s="2">
        <f>MIN(1,ROUND(14*全局参数!$B$8*0.4/(升星表!$B$9+0.0001),3))</f>
        <v>0.723</v>
      </c>
      <c r="D17" s="2">
        <f>MIN(1,ROUND(14*全局参数!$B$9/(觉醒表!$D$29+0.0001),3))</f>
        <v>0.56</v>
      </c>
      <c r="E17" s="2">
        <f>MIN(1,ROUND(14*全局参数!$B$8*0.6/(装备强化表!$B$20+0.0001),3))</f>
        <v>1</v>
      </c>
      <c r="F17" s="2">
        <f ca="1" t="shared" si="0"/>
        <v>0</v>
      </c>
    </row>
    <row r="18" ht="15" spans="1:6">
      <c r="A18" s="2">
        <v>15</v>
      </c>
      <c r="B18" s="2">
        <f>MIN(1,ROUND(15*全局参数!$B$4/等级经验表!$B$63,3))</f>
        <v>0.333</v>
      </c>
      <c r="C18" s="2">
        <f>MIN(1,ROUND(15*全局参数!$B$8*0.4/(升星表!$B$9+0.0001),3))</f>
        <v>0.774</v>
      </c>
      <c r="D18" s="2">
        <f>MIN(1,ROUND(15*全局参数!$B$9/(觉醒表!$D$29+0.0001),3))</f>
        <v>0.6</v>
      </c>
      <c r="E18" s="2">
        <f>MIN(1,ROUND(15*全局参数!$B$8*0.6/(装备强化表!$B$20+0.0001),3))</f>
        <v>1</v>
      </c>
      <c r="F18" s="2">
        <f ca="1" t="shared" si="0"/>
        <v>0</v>
      </c>
    </row>
    <row r="19" ht="15" spans="1:6">
      <c r="A19" s="2">
        <v>16</v>
      </c>
      <c r="B19" s="2">
        <f>MIN(1,ROUND(16*全局参数!$B$4/等级经验表!$B$63,3))</f>
        <v>0.356</v>
      </c>
      <c r="C19" s="2">
        <f>MIN(1,ROUND(16*全局参数!$B$8*0.4/(升星表!$B$9+0.0001),3))</f>
        <v>0.826</v>
      </c>
      <c r="D19" s="2">
        <f>MIN(1,ROUND(16*全局参数!$B$9/(觉醒表!$D$29+0.0001),3))</f>
        <v>0.64</v>
      </c>
      <c r="E19" s="2">
        <f>MIN(1,ROUND(16*全局参数!$B$8*0.6/(装备强化表!$B$20+0.0001),3))</f>
        <v>1</v>
      </c>
      <c r="F19" s="2">
        <f ca="1" t="shared" si="0"/>
        <v>0</v>
      </c>
    </row>
    <row r="20" ht="15" spans="1:6">
      <c r="A20" s="2">
        <v>17</v>
      </c>
      <c r="B20" s="2">
        <f>MIN(1,ROUND(17*全局参数!$B$4/等级经验表!$B$63,3))</f>
        <v>0.378</v>
      </c>
      <c r="C20" s="2">
        <f>MIN(1,ROUND(17*全局参数!$B$8*0.4/(升星表!$B$9+0.0001),3))</f>
        <v>0.877</v>
      </c>
      <c r="D20" s="2">
        <f>MIN(1,ROUND(17*全局参数!$B$9/(觉醒表!$D$29+0.0001),3))</f>
        <v>0.68</v>
      </c>
      <c r="E20" s="2">
        <f>MIN(1,ROUND(17*全局参数!$B$8*0.6/(装备强化表!$B$20+0.0001),3))</f>
        <v>1</v>
      </c>
      <c r="F20" s="2">
        <f ca="1" t="shared" si="0"/>
        <v>0</v>
      </c>
    </row>
    <row r="21" ht="15" spans="1:6">
      <c r="A21" s="2">
        <v>18</v>
      </c>
      <c r="B21" s="2">
        <f>MIN(1,ROUND(18*全局参数!$B$4/等级经验表!$B$63,3))</f>
        <v>0.4</v>
      </c>
      <c r="C21" s="2">
        <f>MIN(1,ROUND(18*全局参数!$B$8*0.4/(升星表!$B$9+0.0001),3))</f>
        <v>0.929</v>
      </c>
      <c r="D21" s="2">
        <f>MIN(1,ROUND(18*全局参数!$B$9/(觉醒表!$D$29+0.0001),3))</f>
        <v>0.72</v>
      </c>
      <c r="E21" s="2">
        <f>MIN(1,ROUND(18*全局参数!$B$8*0.6/(装备强化表!$B$20+0.0001),3))</f>
        <v>1</v>
      </c>
      <c r="F21" s="2">
        <f ca="1" t="shared" si="0"/>
        <v>0</v>
      </c>
    </row>
    <row r="22" ht="15" spans="1:6">
      <c r="A22" s="2">
        <v>19</v>
      </c>
      <c r="B22" s="2">
        <f>MIN(1,ROUND(19*全局参数!$B$4/等级经验表!$B$63,3))</f>
        <v>0.422</v>
      </c>
      <c r="C22" s="2">
        <f>MIN(1,ROUND(19*全局参数!$B$8*0.4/(升星表!$B$9+0.0001),3))</f>
        <v>0.981</v>
      </c>
      <c r="D22" s="2">
        <f>MIN(1,ROUND(19*全局参数!$B$9/(觉醒表!$D$29+0.0001),3))</f>
        <v>0.76</v>
      </c>
      <c r="E22" s="2">
        <f>MIN(1,ROUND(19*全局参数!$B$8*0.6/(装备强化表!$B$20+0.0001),3))</f>
        <v>1</v>
      </c>
      <c r="F22" s="2">
        <f ca="1" t="shared" si="0"/>
        <v>0</v>
      </c>
    </row>
    <row r="23" ht="15" spans="1:6">
      <c r="A23" s="2">
        <v>20</v>
      </c>
      <c r="B23" s="2">
        <f>MIN(1,ROUND(20*全局参数!$B$4/等级经验表!$B$63,3))</f>
        <v>0.444</v>
      </c>
      <c r="C23" s="2">
        <f>MIN(1,ROUND(20*全局参数!$B$8*0.4/(升星表!$B$9+0.0001),3))</f>
        <v>1</v>
      </c>
      <c r="D23" s="2">
        <f>MIN(1,ROUND(20*全局参数!$B$9/(觉醒表!$D$29+0.0001),3))</f>
        <v>0.8</v>
      </c>
      <c r="E23" s="2">
        <f>MIN(1,ROUND(20*全局参数!$B$8*0.6/(装备强化表!$B$20+0.0001),3))</f>
        <v>1</v>
      </c>
      <c r="F23" s="2">
        <f ca="1" t="shared" si="0"/>
        <v>0</v>
      </c>
    </row>
    <row r="24" ht="15" spans="1:6">
      <c r="A24" s="2">
        <v>21</v>
      </c>
      <c r="B24" s="2">
        <f>MIN(1,ROUND(21*全局参数!$B$4/等级经验表!$B$63,3))</f>
        <v>0.467</v>
      </c>
      <c r="C24" s="2">
        <f>MIN(1,ROUND(21*全局参数!$B$8*0.4/(升星表!$B$9+0.0001),3))</f>
        <v>1</v>
      </c>
      <c r="D24" s="2">
        <f>MIN(1,ROUND(21*全局参数!$B$9/(觉醒表!$D$29+0.0001),3))</f>
        <v>0.84</v>
      </c>
      <c r="E24" s="2">
        <f>MIN(1,ROUND(21*全局参数!$B$8*0.6/(装备强化表!$B$20+0.0001),3))</f>
        <v>1</v>
      </c>
      <c r="F24" s="2">
        <f ca="1" t="shared" si="0"/>
        <v>0</v>
      </c>
    </row>
    <row r="25" ht="15" spans="1:6">
      <c r="A25" s="2">
        <v>22</v>
      </c>
      <c r="B25" s="2">
        <f>MIN(1,ROUND(22*全局参数!$B$4/等级经验表!$B$63,3))</f>
        <v>0.489</v>
      </c>
      <c r="C25" s="2">
        <f>MIN(1,ROUND(22*全局参数!$B$8*0.4/(升星表!$B$9+0.0001),3))</f>
        <v>1</v>
      </c>
      <c r="D25" s="2">
        <f>MIN(1,ROUND(22*全局参数!$B$9/(觉醒表!$D$29+0.0001),3))</f>
        <v>0.88</v>
      </c>
      <c r="E25" s="2">
        <f>MIN(1,ROUND(22*全局参数!$B$8*0.6/(装备强化表!$B$20+0.0001),3))</f>
        <v>1</v>
      </c>
      <c r="F25" s="2">
        <f ca="1" t="shared" si="0"/>
        <v>0</v>
      </c>
    </row>
    <row r="26" ht="15" spans="1:6">
      <c r="A26" s="2">
        <v>23</v>
      </c>
      <c r="B26" s="2">
        <f>MIN(1,ROUND(23*全局参数!$B$4/等级经验表!$B$63,3))</f>
        <v>0.511</v>
      </c>
      <c r="C26" s="2">
        <f>MIN(1,ROUND(23*全局参数!$B$8*0.4/(升星表!$B$9+0.0001),3))</f>
        <v>1</v>
      </c>
      <c r="D26" s="2">
        <f>MIN(1,ROUND(23*全局参数!$B$9/(觉醒表!$D$29+0.0001),3))</f>
        <v>0.92</v>
      </c>
      <c r="E26" s="2">
        <f>MIN(1,ROUND(23*全局参数!$B$8*0.6/(装备强化表!$B$20+0.0001),3))</f>
        <v>1</v>
      </c>
      <c r="F26" s="2">
        <f ca="1" t="shared" si="0"/>
        <v>0</v>
      </c>
    </row>
    <row r="27" ht="15" spans="1:6">
      <c r="A27" s="2">
        <v>24</v>
      </c>
      <c r="B27" s="2">
        <f>MIN(1,ROUND(24*全局参数!$B$4/等级经验表!$B$63,3))</f>
        <v>0.533</v>
      </c>
      <c r="C27" s="2">
        <f>MIN(1,ROUND(24*全局参数!$B$8*0.4/(升星表!$B$9+0.0001),3))</f>
        <v>1</v>
      </c>
      <c r="D27" s="2">
        <f>MIN(1,ROUND(24*全局参数!$B$9/(觉醒表!$D$29+0.0001),3))</f>
        <v>0.96</v>
      </c>
      <c r="E27" s="2">
        <f>MIN(1,ROUND(24*全局参数!$B$8*0.6/(装备强化表!$B$20+0.0001),3))</f>
        <v>1</v>
      </c>
      <c r="F27" s="2">
        <f ca="1" t="shared" si="0"/>
        <v>0</v>
      </c>
    </row>
    <row r="28" ht="15" spans="1:6">
      <c r="A28" s="2">
        <v>25</v>
      </c>
      <c r="B28" s="2">
        <f>MIN(1,ROUND(25*全局参数!$B$4/等级经验表!$B$63,3))</f>
        <v>0.556</v>
      </c>
      <c r="C28" s="2">
        <f>MIN(1,ROUND(25*全局参数!$B$8*0.4/(升星表!$B$9+0.0001),3))</f>
        <v>1</v>
      </c>
      <c r="D28" s="2">
        <f>MIN(1,ROUND(25*全局参数!$B$9/(觉醒表!$D$29+0.0001),3))</f>
        <v>1</v>
      </c>
      <c r="E28" s="2">
        <f>MIN(1,ROUND(25*全局参数!$B$8*0.6/(装备强化表!$B$20+0.0001),3))</f>
        <v>1</v>
      </c>
      <c r="F28" s="2">
        <f ca="1" t="shared" si="0"/>
        <v>0</v>
      </c>
    </row>
    <row r="29" ht="15" spans="1:6">
      <c r="A29" s="2">
        <v>26</v>
      </c>
      <c r="B29" s="2">
        <f>MIN(1,ROUND(26*全局参数!$B$4/等级经验表!$B$63,3))</f>
        <v>0.578</v>
      </c>
      <c r="C29" s="2">
        <f>MIN(1,ROUND(26*全局参数!$B$8*0.4/(升星表!$B$9+0.0001),3))</f>
        <v>1</v>
      </c>
      <c r="D29" s="2">
        <f>MIN(1,ROUND(26*全局参数!$B$9/(觉醒表!$D$29+0.0001),3))</f>
        <v>1</v>
      </c>
      <c r="E29" s="2">
        <f>MIN(1,ROUND(26*全局参数!$B$8*0.6/(装备强化表!$B$20+0.0001),3))</f>
        <v>1</v>
      </c>
      <c r="F29" s="2">
        <f ca="1" t="shared" si="0"/>
        <v>0</v>
      </c>
    </row>
    <row r="30" ht="15" spans="1:6">
      <c r="A30" s="2">
        <v>27</v>
      </c>
      <c r="B30" s="2">
        <f>MIN(1,ROUND(27*全局参数!$B$4/等级经验表!$B$63,3))</f>
        <v>0.6</v>
      </c>
      <c r="C30" s="2">
        <f>MIN(1,ROUND(27*全局参数!$B$8*0.4/(升星表!$B$9+0.0001),3))</f>
        <v>1</v>
      </c>
      <c r="D30" s="2">
        <f>MIN(1,ROUND(27*全局参数!$B$9/(觉醒表!$D$29+0.0001),3))</f>
        <v>1</v>
      </c>
      <c r="E30" s="2">
        <f>MIN(1,ROUND(27*全局参数!$B$8*0.6/(装备强化表!$B$20+0.0001),3))</f>
        <v>1</v>
      </c>
      <c r="F30" s="2">
        <f ca="1" t="shared" si="0"/>
        <v>0</v>
      </c>
    </row>
    <row r="31" ht="15" spans="1:6">
      <c r="A31" s="2">
        <v>28</v>
      </c>
      <c r="B31" s="2">
        <f>MIN(1,ROUND(28*全局参数!$B$4/等级经验表!$B$63,3))</f>
        <v>0.622</v>
      </c>
      <c r="C31" s="2">
        <f>MIN(1,ROUND(28*全局参数!$B$8*0.4/(升星表!$B$9+0.0001),3))</f>
        <v>1</v>
      </c>
      <c r="D31" s="2">
        <f>MIN(1,ROUND(28*全局参数!$B$9/(觉醒表!$D$29+0.0001),3))</f>
        <v>1</v>
      </c>
      <c r="E31" s="2">
        <f>MIN(1,ROUND(28*全局参数!$B$8*0.6/(装备强化表!$B$20+0.0001),3))</f>
        <v>1</v>
      </c>
      <c r="F31" s="2">
        <f ca="1" t="shared" si="0"/>
        <v>0</v>
      </c>
    </row>
    <row r="32" ht="15" spans="1:6">
      <c r="A32" s="2">
        <v>29</v>
      </c>
      <c r="B32" s="2">
        <f>MIN(1,ROUND(29*全局参数!$B$4/等级经验表!$B$63,3))</f>
        <v>0.644</v>
      </c>
      <c r="C32" s="2">
        <f>MIN(1,ROUND(29*全局参数!$B$8*0.4/(升星表!$B$9+0.0001),3))</f>
        <v>1</v>
      </c>
      <c r="D32" s="2">
        <f>MIN(1,ROUND(29*全局参数!$B$9/(觉醒表!$D$29+0.0001),3))</f>
        <v>1</v>
      </c>
      <c r="E32" s="2">
        <f>MIN(1,ROUND(29*全局参数!$B$8*0.6/(装备强化表!$B$20+0.0001),3))</f>
        <v>1</v>
      </c>
      <c r="F32" s="2">
        <f ca="1" t="shared" si="0"/>
        <v>0</v>
      </c>
    </row>
    <row r="33" ht="15" spans="1:6">
      <c r="A33" s="2">
        <v>30</v>
      </c>
      <c r="B33" s="2">
        <f>MIN(1,ROUND(30*全局参数!$B$4/等级经验表!$B$63,3))</f>
        <v>0.667</v>
      </c>
      <c r="C33" s="2">
        <f>MIN(1,ROUND(30*全局参数!$B$8*0.4/(升星表!$B$9+0.0001),3))</f>
        <v>1</v>
      </c>
      <c r="D33" s="2">
        <f>MIN(1,ROUND(30*全局参数!$B$9/(觉醒表!$D$29+0.0001),3))</f>
        <v>1</v>
      </c>
      <c r="E33" s="2">
        <f>MIN(1,ROUND(30*全局参数!$B$8*0.6/(装备强化表!$B$20+0.0001),3))</f>
        <v>1</v>
      </c>
      <c r="F33" s="2">
        <f ca="1" t="shared" si="0"/>
        <v>0</v>
      </c>
    </row>
    <row r="34" ht="15" spans="1:6">
      <c r="A34" s="2">
        <v>31</v>
      </c>
      <c r="B34" s="2">
        <f>MIN(1,ROUND(31*全局参数!$B$4/等级经验表!$B$63,3))</f>
        <v>0.689</v>
      </c>
      <c r="C34" s="2">
        <f>MIN(1,ROUND(31*全局参数!$B$8*0.4/(升星表!$B$9+0.0001),3))</f>
        <v>1</v>
      </c>
      <c r="D34" s="2">
        <f>MIN(1,ROUND(31*全局参数!$B$9/(觉醒表!$D$29+0.0001),3))</f>
        <v>1</v>
      </c>
      <c r="E34" s="2">
        <f>MIN(1,ROUND(31*全局参数!$B$8*0.6/(装备强化表!$B$20+0.0001),3))</f>
        <v>1</v>
      </c>
      <c r="F34" s="2">
        <f ca="1" t="shared" si="0"/>
        <v>0</v>
      </c>
    </row>
    <row r="35" ht="15" spans="1:6">
      <c r="A35" s="2">
        <v>32</v>
      </c>
      <c r="B35" s="2">
        <f>MIN(1,ROUND(32*全局参数!$B$4/等级经验表!$B$63,3))</f>
        <v>0.711</v>
      </c>
      <c r="C35" s="2">
        <f>MIN(1,ROUND(32*全局参数!$B$8*0.4/(升星表!$B$9+0.0001),3))</f>
        <v>1</v>
      </c>
      <c r="D35" s="2">
        <f>MIN(1,ROUND(32*全局参数!$B$9/(觉醒表!$D$29+0.0001),3))</f>
        <v>1</v>
      </c>
      <c r="E35" s="2">
        <f>MIN(1,ROUND(32*全局参数!$B$8*0.6/(装备强化表!$B$20+0.0001),3))</f>
        <v>1</v>
      </c>
      <c r="F35" s="2">
        <f ca="1" t="shared" si="0"/>
        <v>0</v>
      </c>
    </row>
    <row r="36" ht="15" spans="1:6">
      <c r="A36" s="2">
        <v>33</v>
      </c>
      <c r="B36" s="2">
        <f>MIN(1,ROUND(33*全局参数!$B$4/等级经验表!$B$63,3))</f>
        <v>0.733</v>
      </c>
      <c r="C36" s="2">
        <f>MIN(1,ROUND(33*全局参数!$B$8*0.4/(升星表!$B$9+0.0001),3))</f>
        <v>1</v>
      </c>
      <c r="D36" s="2">
        <f>MIN(1,ROUND(33*全局参数!$B$9/(觉醒表!$D$29+0.0001),3))</f>
        <v>1</v>
      </c>
      <c r="E36" s="2">
        <f>MIN(1,ROUND(33*全局参数!$B$8*0.6/(装备强化表!$B$20+0.0001),3))</f>
        <v>1</v>
      </c>
      <c r="F36" s="2">
        <f ca="1" t="shared" si="0"/>
        <v>0</v>
      </c>
    </row>
    <row r="37" ht="15" spans="1:6">
      <c r="A37" s="2">
        <v>34</v>
      </c>
      <c r="B37" s="2">
        <f>MIN(1,ROUND(34*全局参数!$B$4/等级经验表!$B$63,3))</f>
        <v>0.756</v>
      </c>
      <c r="C37" s="2">
        <f>MIN(1,ROUND(34*全局参数!$B$8*0.4/(升星表!$B$9+0.0001),3))</f>
        <v>1</v>
      </c>
      <c r="D37" s="2">
        <f>MIN(1,ROUND(34*全局参数!$B$9/(觉醒表!$D$29+0.0001),3))</f>
        <v>1</v>
      </c>
      <c r="E37" s="2">
        <f>MIN(1,ROUND(34*全局参数!$B$8*0.6/(装备强化表!$B$20+0.0001),3))</f>
        <v>1</v>
      </c>
      <c r="F37" s="2">
        <f ca="1" t="shared" si="0"/>
        <v>0</v>
      </c>
    </row>
    <row r="38" ht="15" spans="1:6">
      <c r="A38" s="2">
        <v>35</v>
      </c>
      <c r="B38" s="2">
        <f>MIN(1,ROUND(35*全局参数!$B$4/等级经验表!$B$63,3))</f>
        <v>0.778</v>
      </c>
      <c r="C38" s="2">
        <f>MIN(1,ROUND(35*全局参数!$B$8*0.4/(升星表!$B$9+0.0001),3))</f>
        <v>1</v>
      </c>
      <c r="D38" s="2">
        <f>MIN(1,ROUND(35*全局参数!$B$9/(觉醒表!$D$29+0.0001),3))</f>
        <v>1</v>
      </c>
      <c r="E38" s="2">
        <f>MIN(1,ROUND(35*全局参数!$B$8*0.6/(装备强化表!$B$20+0.0001),3))</f>
        <v>1</v>
      </c>
      <c r="F38" s="2">
        <f ca="1" t="shared" si="0"/>
        <v>0</v>
      </c>
    </row>
    <row r="39" ht="15" spans="1:6">
      <c r="A39" s="2">
        <v>36</v>
      </c>
      <c r="B39" s="2">
        <f>MIN(1,ROUND(36*全局参数!$B$4/等级经验表!$B$63,3))</f>
        <v>0.8</v>
      </c>
      <c r="C39" s="2">
        <f>MIN(1,ROUND(36*全局参数!$B$8*0.4/(升星表!$B$9+0.0001),3))</f>
        <v>1</v>
      </c>
      <c r="D39" s="2">
        <f>MIN(1,ROUND(36*全局参数!$B$9/(觉醒表!$D$29+0.0001),3))</f>
        <v>1</v>
      </c>
      <c r="E39" s="2">
        <f>MIN(1,ROUND(36*全局参数!$B$8*0.6/(装备强化表!$B$20+0.0001),3))</f>
        <v>1</v>
      </c>
      <c r="F39" s="2">
        <f ca="1" t="shared" si="0"/>
        <v>0</v>
      </c>
    </row>
    <row r="40" ht="15" spans="1:6">
      <c r="A40" s="2">
        <v>37</v>
      </c>
      <c r="B40" s="2">
        <f>MIN(1,ROUND(37*全局参数!$B$4/等级经验表!$B$63,3))</f>
        <v>0.822</v>
      </c>
      <c r="C40" s="2">
        <f>MIN(1,ROUND(37*全局参数!$B$8*0.4/(升星表!$B$9+0.0001),3))</f>
        <v>1</v>
      </c>
      <c r="D40" s="2">
        <f>MIN(1,ROUND(37*全局参数!$B$9/(觉醒表!$D$29+0.0001),3))</f>
        <v>1</v>
      </c>
      <c r="E40" s="2">
        <f>MIN(1,ROUND(37*全局参数!$B$8*0.6/(装备强化表!$B$20+0.0001),3))</f>
        <v>1</v>
      </c>
      <c r="F40" s="2">
        <f ca="1" t="shared" si="0"/>
        <v>0</v>
      </c>
    </row>
    <row r="41" ht="15" spans="1:6">
      <c r="A41" s="2">
        <v>38</v>
      </c>
      <c r="B41" s="2">
        <f>MIN(1,ROUND(38*全局参数!$B$4/等级经验表!$B$63,3))</f>
        <v>0.844</v>
      </c>
      <c r="C41" s="2">
        <f>MIN(1,ROUND(38*全局参数!$B$8*0.4/(升星表!$B$9+0.0001),3))</f>
        <v>1</v>
      </c>
      <c r="D41" s="2">
        <f>MIN(1,ROUND(38*全局参数!$B$9/(觉醒表!$D$29+0.0001),3))</f>
        <v>1</v>
      </c>
      <c r="E41" s="2">
        <f>MIN(1,ROUND(38*全局参数!$B$8*0.6/(装备强化表!$B$20+0.0001),3))</f>
        <v>1</v>
      </c>
      <c r="F41" s="2">
        <f ca="1" t="shared" si="0"/>
        <v>0</v>
      </c>
    </row>
    <row r="42" ht="15" spans="1:6">
      <c r="A42" s="2">
        <v>39</v>
      </c>
      <c r="B42" s="2">
        <f>MIN(1,ROUND(39*全局参数!$B$4/等级经验表!$B$63,3))</f>
        <v>0.867</v>
      </c>
      <c r="C42" s="2">
        <f>MIN(1,ROUND(39*全局参数!$B$8*0.4/(升星表!$B$9+0.0001),3))</f>
        <v>1</v>
      </c>
      <c r="D42" s="2">
        <f>MIN(1,ROUND(39*全局参数!$B$9/(觉醒表!$D$29+0.0001),3))</f>
        <v>1</v>
      </c>
      <c r="E42" s="2">
        <f>MIN(1,ROUND(39*全局参数!$B$8*0.6/(装备强化表!$B$20+0.0001),3))</f>
        <v>1</v>
      </c>
      <c r="F42" s="2">
        <f ca="1" t="shared" si="0"/>
        <v>0</v>
      </c>
    </row>
    <row r="43" ht="15" spans="1:6">
      <c r="A43" s="2">
        <v>40</v>
      </c>
      <c r="B43" s="2">
        <f>MIN(1,ROUND(40*全局参数!$B$4/等级经验表!$B$63,3))</f>
        <v>0.889</v>
      </c>
      <c r="C43" s="2">
        <f>MIN(1,ROUND(40*全局参数!$B$8*0.4/(升星表!$B$9+0.0001),3))</f>
        <v>1</v>
      </c>
      <c r="D43" s="2">
        <f>MIN(1,ROUND(40*全局参数!$B$9/(觉醒表!$D$29+0.0001),3))</f>
        <v>1</v>
      </c>
      <c r="E43" s="2">
        <f>MIN(1,ROUND(40*全局参数!$B$8*0.6/(装备强化表!$B$20+0.0001),3))</f>
        <v>1</v>
      </c>
      <c r="F43" s="2">
        <f ca="1" t="shared" si="0"/>
        <v>0</v>
      </c>
    </row>
    <row r="44" ht="15" spans="1:6">
      <c r="A44" s="2">
        <v>41</v>
      </c>
      <c r="B44" s="2">
        <f>MIN(1,ROUND(41*全局参数!$B$4/等级经验表!$B$63,3))</f>
        <v>0.911</v>
      </c>
      <c r="C44" s="2">
        <f>MIN(1,ROUND(41*全局参数!$B$8*0.4/(升星表!$B$9+0.0001),3))</f>
        <v>1</v>
      </c>
      <c r="D44" s="2">
        <f>MIN(1,ROUND(41*全局参数!$B$9/(觉醒表!$D$29+0.0001),3))</f>
        <v>1</v>
      </c>
      <c r="E44" s="2">
        <f>MIN(1,ROUND(41*全局参数!$B$8*0.6/(装备强化表!$B$20+0.0001),3))</f>
        <v>1</v>
      </c>
      <c r="F44" s="2">
        <f ca="1" t="shared" si="0"/>
        <v>0</v>
      </c>
    </row>
    <row r="45" ht="15" spans="1:6">
      <c r="A45" s="2">
        <v>42</v>
      </c>
      <c r="B45" s="2">
        <f>MIN(1,ROUND(42*全局参数!$B$4/等级经验表!$B$63,3))</f>
        <v>0.933</v>
      </c>
      <c r="C45" s="2">
        <f>MIN(1,ROUND(42*全局参数!$B$8*0.4/(升星表!$B$9+0.0001),3))</f>
        <v>1</v>
      </c>
      <c r="D45" s="2">
        <f>MIN(1,ROUND(42*全局参数!$B$9/(觉醒表!$D$29+0.0001),3))</f>
        <v>1</v>
      </c>
      <c r="E45" s="2">
        <f>MIN(1,ROUND(42*全局参数!$B$8*0.6/(装备强化表!$B$20+0.0001),3))</f>
        <v>1</v>
      </c>
      <c r="F45" s="2">
        <f ca="1" t="shared" si="0"/>
        <v>0</v>
      </c>
    </row>
    <row r="46" ht="15" spans="1:6">
      <c r="A46" s="2">
        <v>43</v>
      </c>
      <c r="B46" s="2">
        <f>MIN(1,ROUND(43*全局参数!$B$4/等级经验表!$B$63,3))</f>
        <v>0.956</v>
      </c>
      <c r="C46" s="2">
        <f>MIN(1,ROUND(43*全局参数!$B$8*0.4/(升星表!$B$9+0.0001),3))</f>
        <v>1</v>
      </c>
      <c r="D46" s="2">
        <f>MIN(1,ROUND(43*全局参数!$B$9/(觉醒表!$D$29+0.0001),3))</f>
        <v>1</v>
      </c>
      <c r="E46" s="2">
        <f>MIN(1,ROUND(43*全局参数!$B$8*0.6/(装备强化表!$B$20+0.0001),3))</f>
        <v>1</v>
      </c>
      <c r="F46" s="2">
        <f ca="1" t="shared" si="0"/>
        <v>0</v>
      </c>
    </row>
    <row r="47" ht="15" spans="1:6">
      <c r="A47" s="2">
        <v>44</v>
      </c>
      <c r="B47" s="2">
        <f>MIN(1,ROUND(44*全局参数!$B$4/等级经验表!$B$63,3))</f>
        <v>0.978</v>
      </c>
      <c r="C47" s="2">
        <f>MIN(1,ROUND(44*全局参数!$B$8*0.4/(升星表!$B$9+0.0001),3))</f>
        <v>1</v>
      </c>
      <c r="D47" s="2">
        <f>MIN(1,ROUND(44*全局参数!$B$9/(觉醒表!$D$29+0.0001),3))</f>
        <v>1</v>
      </c>
      <c r="E47" s="2">
        <f>MIN(1,ROUND(44*全局参数!$B$8*0.6/(装备强化表!$B$20+0.0001),3))</f>
        <v>1</v>
      </c>
      <c r="F47" s="2">
        <f ca="1" t="shared" si="0"/>
        <v>0</v>
      </c>
    </row>
    <row r="48" ht="15" spans="1:6">
      <c r="A48" s="2">
        <v>45</v>
      </c>
      <c r="B48" s="2">
        <f>MIN(1,ROUND(45*全局参数!$B$4/等级经验表!$B$63,3))</f>
        <v>1</v>
      </c>
      <c r="C48" s="2">
        <f>MIN(1,ROUND(45*全局参数!$B$8*0.4/(升星表!$B$9+0.0001),3))</f>
        <v>1</v>
      </c>
      <c r="D48" s="2">
        <f>MIN(1,ROUND(45*全局参数!$B$9/(觉醒表!$D$29+0.0001),3))</f>
        <v>1</v>
      </c>
      <c r="E48" s="2">
        <f>MIN(1,ROUND(45*全局参数!$B$8*0.6/(装备强化表!$B$20+0.0001),3))</f>
        <v>1</v>
      </c>
      <c r="F48" s="2">
        <f ca="1" t="shared" si="0"/>
        <v>0</v>
      </c>
    </row>
    <row r="49" ht="15" spans="1:6">
      <c r="A49" s="2">
        <v>46</v>
      </c>
      <c r="B49" s="2">
        <f>MIN(1,ROUND(46*全局参数!$B$4/等级经验表!$B$63,3))</f>
        <v>1</v>
      </c>
      <c r="C49" s="2">
        <f>MIN(1,ROUND(46*全局参数!$B$8*0.4/(升星表!$B$9+0.0001),3))</f>
        <v>1</v>
      </c>
      <c r="D49" s="2">
        <f>MIN(1,ROUND(46*全局参数!$B$9/(觉醒表!$D$29+0.0001),3))</f>
        <v>1</v>
      </c>
      <c r="E49" s="2">
        <f>MIN(1,ROUND(46*全局参数!$B$8*0.6/(装备强化表!$B$20+0.0001),3))</f>
        <v>1</v>
      </c>
      <c r="F49" s="2">
        <f ca="1" t="shared" si="0"/>
        <v>0</v>
      </c>
    </row>
    <row r="50" ht="15" spans="1:6">
      <c r="A50" s="2">
        <v>47</v>
      </c>
      <c r="B50" s="2">
        <f>MIN(1,ROUND(47*全局参数!$B$4/等级经验表!$B$63,3))</f>
        <v>1</v>
      </c>
      <c r="C50" s="2">
        <f>MIN(1,ROUND(47*全局参数!$B$8*0.4/(升星表!$B$9+0.0001),3))</f>
        <v>1</v>
      </c>
      <c r="D50" s="2">
        <f>MIN(1,ROUND(47*全局参数!$B$9/(觉醒表!$D$29+0.0001),3))</f>
        <v>1</v>
      </c>
      <c r="E50" s="2">
        <f>MIN(1,ROUND(47*全局参数!$B$8*0.6/(装备强化表!$B$20+0.0001),3))</f>
        <v>1</v>
      </c>
      <c r="F50" s="2">
        <f ca="1" t="shared" si="0"/>
        <v>0</v>
      </c>
    </row>
    <row r="51" ht="15" spans="1:6">
      <c r="A51" s="2">
        <v>48</v>
      </c>
      <c r="B51" s="2">
        <f>MIN(1,ROUND(48*全局参数!$B$4/等级经验表!$B$63,3))</f>
        <v>1</v>
      </c>
      <c r="C51" s="2">
        <f>MIN(1,ROUND(48*全局参数!$B$8*0.4/(升星表!$B$9+0.0001),3))</f>
        <v>1</v>
      </c>
      <c r="D51" s="2">
        <f>MIN(1,ROUND(48*全局参数!$B$9/(觉醒表!$D$29+0.0001),3))</f>
        <v>1</v>
      </c>
      <c r="E51" s="2">
        <f>MIN(1,ROUND(48*全局参数!$B$8*0.6/(装备强化表!$B$20+0.0001),3))</f>
        <v>1</v>
      </c>
      <c r="F51" s="2">
        <f ca="1" t="shared" si="0"/>
        <v>0</v>
      </c>
    </row>
    <row r="52" ht="15" spans="1:6">
      <c r="A52" s="2">
        <v>49</v>
      </c>
      <c r="B52" s="2">
        <f>MIN(1,ROUND(49*全局参数!$B$4/等级经验表!$B$63,3))</f>
        <v>1</v>
      </c>
      <c r="C52" s="2">
        <f>MIN(1,ROUND(49*全局参数!$B$8*0.4/(升星表!$B$9+0.0001),3))</f>
        <v>1</v>
      </c>
      <c r="D52" s="2">
        <f>MIN(1,ROUND(49*全局参数!$B$9/(觉醒表!$D$29+0.0001),3))</f>
        <v>1</v>
      </c>
      <c r="E52" s="2">
        <f>MIN(1,ROUND(49*全局参数!$B$8*0.6/(装备强化表!$B$20+0.0001),3))</f>
        <v>1</v>
      </c>
      <c r="F52" s="2">
        <f ca="1" t="shared" si="0"/>
        <v>0</v>
      </c>
    </row>
    <row r="53" ht="15" spans="1:6">
      <c r="A53" s="2">
        <v>50</v>
      </c>
      <c r="B53" s="2">
        <f>MIN(1,ROUND(50*全局参数!$B$4/等级经验表!$B$63,3))</f>
        <v>1</v>
      </c>
      <c r="C53" s="2">
        <f>MIN(1,ROUND(50*全局参数!$B$8*0.4/(升星表!$B$9+0.0001),3))</f>
        <v>1</v>
      </c>
      <c r="D53" s="2">
        <f>MIN(1,ROUND(50*全局参数!$B$9/(觉醒表!$D$29+0.0001),3))</f>
        <v>1</v>
      </c>
      <c r="E53" s="2">
        <f>MIN(1,ROUND(50*全局参数!$B$8*0.6/(装备强化表!$B$20+0.0001),3))</f>
        <v>1</v>
      </c>
      <c r="F53" s="2">
        <f ca="1" t="shared" si="0"/>
        <v>0</v>
      </c>
    </row>
    <row r="54" ht="15" spans="1:6">
      <c r="A54" s="2">
        <v>51</v>
      </c>
      <c r="B54" s="2">
        <f>MIN(1,ROUND(51*全局参数!$B$4/等级经验表!$B$63,3))</f>
        <v>1</v>
      </c>
      <c r="C54" s="2">
        <f>MIN(1,ROUND(51*全局参数!$B$8*0.4/(升星表!$B$9+0.0001),3))</f>
        <v>1</v>
      </c>
      <c r="D54" s="2">
        <f>MIN(1,ROUND(51*全局参数!$B$9/(觉醒表!$D$29+0.0001),3))</f>
        <v>1</v>
      </c>
      <c r="E54" s="2">
        <f>MIN(1,ROUND(51*全局参数!$B$8*0.6/(装备强化表!$B$20+0.0001),3))</f>
        <v>1</v>
      </c>
      <c r="F54" s="2">
        <f ca="1" t="shared" si="0"/>
        <v>0</v>
      </c>
    </row>
    <row r="55" ht="15" spans="1:6">
      <c r="A55" s="2">
        <v>52</v>
      </c>
      <c r="B55" s="2">
        <f>MIN(1,ROUND(52*全局参数!$B$4/等级经验表!$B$63,3))</f>
        <v>1</v>
      </c>
      <c r="C55" s="2">
        <f>MIN(1,ROUND(52*全局参数!$B$8*0.4/(升星表!$B$9+0.0001),3))</f>
        <v>1</v>
      </c>
      <c r="D55" s="2">
        <f>MIN(1,ROUND(52*全局参数!$B$9/(觉醒表!$D$29+0.0001),3))</f>
        <v>1</v>
      </c>
      <c r="E55" s="2">
        <f>MIN(1,ROUND(52*全局参数!$B$8*0.6/(装备强化表!$B$20+0.0001),3))</f>
        <v>1</v>
      </c>
      <c r="F55" s="2">
        <f ca="1" t="shared" si="0"/>
        <v>0</v>
      </c>
    </row>
    <row r="56" ht="15" spans="1:6">
      <c r="A56" s="2">
        <v>53</v>
      </c>
      <c r="B56" s="2">
        <f>MIN(1,ROUND(53*全局参数!$B$4/等级经验表!$B$63,3))</f>
        <v>1</v>
      </c>
      <c r="C56" s="2">
        <f>MIN(1,ROUND(53*全局参数!$B$8*0.4/(升星表!$B$9+0.0001),3))</f>
        <v>1</v>
      </c>
      <c r="D56" s="2">
        <f>MIN(1,ROUND(53*全局参数!$B$9/(觉醒表!$D$29+0.0001),3))</f>
        <v>1</v>
      </c>
      <c r="E56" s="2">
        <f>MIN(1,ROUND(53*全局参数!$B$8*0.6/(装备强化表!$B$20+0.0001),3))</f>
        <v>1</v>
      </c>
      <c r="F56" s="2">
        <f ca="1" t="shared" si="0"/>
        <v>0</v>
      </c>
    </row>
    <row r="57" ht="15" spans="1:6">
      <c r="A57" s="2">
        <v>54</v>
      </c>
      <c r="B57" s="2">
        <f>MIN(1,ROUND(54*全局参数!$B$4/等级经验表!$B$63,3))</f>
        <v>1</v>
      </c>
      <c r="C57" s="2">
        <f>MIN(1,ROUND(54*全局参数!$B$8*0.4/(升星表!$B$9+0.0001),3))</f>
        <v>1</v>
      </c>
      <c r="D57" s="2">
        <f>MIN(1,ROUND(54*全局参数!$B$9/(觉醒表!$D$29+0.0001),3))</f>
        <v>1</v>
      </c>
      <c r="E57" s="2">
        <f>MIN(1,ROUND(54*全局参数!$B$8*0.6/(装备强化表!$B$20+0.0001),3))</f>
        <v>1</v>
      </c>
      <c r="F57" s="2">
        <f ca="1" t="shared" si="0"/>
        <v>0</v>
      </c>
    </row>
    <row r="58" ht="15" spans="1:6">
      <c r="A58" s="2">
        <v>55</v>
      </c>
      <c r="B58" s="2">
        <f>MIN(1,ROUND(55*全局参数!$B$4/等级经验表!$B$63,3))</f>
        <v>1</v>
      </c>
      <c r="C58" s="2">
        <f>MIN(1,ROUND(55*全局参数!$B$8*0.4/(升星表!$B$9+0.0001),3))</f>
        <v>1</v>
      </c>
      <c r="D58" s="2">
        <f>MIN(1,ROUND(55*全局参数!$B$9/(觉醒表!$D$29+0.0001),3))</f>
        <v>1</v>
      </c>
      <c r="E58" s="2">
        <f>MIN(1,ROUND(55*全局参数!$B$8*0.6/(装备强化表!$B$20+0.0001),3))</f>
        <v>1</v>
      </c>
      <c r="F58" s="2">
        <f ca="1" t="shared" si="0"/>
        <v>0</v>
      </c>
    </row>
    <row r="59" ht="15" spans="1:6">
      <c r="A59" s="2">
        <v>56</v>
      </c>
      <c r="B59" s="2">
        <f>MIN(1,ROUND(56*全局参数!$B$4/等级经验表!$B$63,3))</f>
        <v>1</v>
      </c>
      <c r="C59" s="2">
        <f>MIN(1,ROUND(56*全局参数!$B$8*0.4/(升星表!$B$9+0.0001),3))</f>
        <v>1</v>
      </c>
      <c r="D59" s="2">
        <f>MIN(1,ROUND(56*全局参数!$B$9/(觉醒表!$D$29+0.0001),3))</f>
        <v>1</v>
      </c>
      <c r="E59" s="2">
        <f>MIN(1,ROUND(56*全局参数!$B$8*0.6/(装备强化表!$B$20+0.0001),3))</f>
        <v>1</v>
      </c>
      <c r="F59" s="2">
        <f ca="1" t="shared" si="0"/>
        <v>0</v>
      </c>
    </row>
    <row r="60" ht="15" spans="1:6">
      <c r="A60" s="2">
        <v>57</v>
      </c>
      <c r="B60" s="2">
        <f>MIN(1,ROUND(57*全局参数!$B$4/等级经验表!$B$63,3))</f>
        <v>1</v>
      </c>
      <c r="C60" s="2">
        <f>MIN(1,ROUND(57*全局参数!$B$8*0.4/(升星表!$B$9+0.0001),3))</f>
        <v>1</v>
      </c>
      <c r="D60" s="2">
        <f>MIN(1,ROUND(57*全局参数!$B$9/(觉醒表!$D$29+0.0001),3))</f>
        <v>1</v>
      </c>
      <c r="E60" s="2">
        <f>MIN(1,ROUND(57*全局参数!$B$8*0.6/(装备强化表!$B$20+0.0001),3))</f>
        <v>1</v>
      </c>
      <c r="F60" s="2">
        <f ca="1" t="shared" si="0"/>
        <v>0</v>
      </c>
    </row>
    <row r="61" ht="15" spans="1:6">
      <c r="A61" s="2">
        <v>58</v>
      </c>
      <c r="B61" s="2">
        <f>MIN(1,ROUND(58*全局参数!$B$4/等级经验表!$B$63,3))</f>
        <v>1</v>
      </c>
      <c r="C61" s="2">
        <f>MIN(1,ROUND(58*全局参数!$B$8*0.4/(升星表!$B$9+0.0001),3))</f>
        <v>1</v>
      </c>
      <c r="D61" s="2">
        <f>MIN(1,ROUND(58*全局参数!$B$9/(觉醒表!$D$29+0.0001),3))</f>
        <v>1</v>
      </c>
      <c r="E61" s="2">
        <f>MIN(1,ROUND(58*全局参数!$B$8*0.6/(装备强化表!$B$20+0.0001),3))</f>
        <v>1</v>
      </c>
      <c r="F61" s="2">
        <f ca="1" t="shared" si="0"/>
        <v>0</v>
      </c>
    </row>
    <row r="62" ht="15" spans="1:6">
      <c r="A62" s="2">
        <v>59</v>
      </c>
      <c r="B62" s="2">
        <f>MIN(1,ROUND(59*全局参数!$B$4/等级经验表!$B$63,3))</f>
        <v>1</v>
      </c>
      <c r="C62" s="2">
        <f>MIN(1,ROUND(59*全局参数!$B$8*0.4/(升星表!$B$9+0.0001),3))</f>
        <v>1</v>
      </c>
      <c r="D62" s="2">
        <f>MIN(1,ROUND(59*全局参数!$B$9/(觉醒表!$D$29+0.0001),3))</f>
        <v>1</v>
      </c>
      <c r="E62" s="2">
        <f>MIN(1,ROUND(59*全局参数!$B$8*0.6/(装备强化表!$B$20+0.0001),3))</f>
        <v>1</v>
      </c>
      <c r="F62" s="2">
        <f ca="1" t="shared" si="0"/>
        <v>0</v>
      </c>
    </row>
    <row r="63" ht="15" spans="1:6">
      <c r="A63" s="2">
        <v>60</v>
      </c>
      <c r="B63" s="2">
        <f>MIN(1,ROUND(60*全局参数!$B$4/等级经验表!$B$63,3))</f>
        <v>1</v>
      </c>
      <c r="C63" s="2">
        <f>MIN(1,ROUND(60*全局参数!$B$8*0.4/(升星表!$B$9+0.0001),3))</f>
        <v>1</v>
      </c>
      <c r="D63" s="2">
        <f>MIN(1,ROUND(60*全局参数!$B$9/(觉醒表!$D$29+0.0001),3))</f>
        <v>1</v>
      </c>
      <c r="E63" s="2">
        <f>MIN(1,ROUND(60*全局参数!$B$8*0.6/(装备强化表!$B$20+0.0001),3))</f>
        <v>1</v>
      </c>
      <c r="F63" s="2">
        <f ca="1" t="shared" si="0"/>
        <v>0</v>
      </c>
    </row>
    <row r="64" ht="15" spans="1:6">
      <c r="A64" s="2">
        <v>61</v>
      </c>
      <c r="B64" s="2">
        <f>MIN(1,ROUND(61*全局参数!$B$4/等级经验表!$B$63,3))</f>
        <v>1</v>
      </c>
      <c r="C64" s="2">
        <f>MIN(1,ROUND(61*全局参数!$B$8*0.4/(升星表!$B$9+0.0001),3))</f>
        <v>1</v>
      </c>
      <c r="D64" s="2">
        <f>MIN(1,ROUND(61*全局参数!$B$9/(觉醒表!$D$29+0.0001),3))</f>
        <v>1</v>
      </c>
      <c r="E64" s="2">
        <f>MIN(1,ROUND(61*全局参数!$B$8*0.6/(装备强化表!$B$20+0.0001),3))</f>
        <v>1</v>
      </c>
      <c r="F64" s="2">
        <f ca="1" t="shared" si="0"/>
        <v>0</v>
      </c>
    </row>
    <row r="65" ht="15" spans="1:6">
      <c r="A65" s="2">
        <v>62</v>
      </c>
      <c r="B65" s="2">
        <f>MIN(1,ROUND(62*全局参数!$B$4/等级经验表!$B$63,3))</f>
        <v>1</v>
      </c>
      <c r="C65" s="2">
        <f>MIN(1,ROUND(62*全局参数!$B$8*0.4/(升星表!$B$9+0.0001),3))</f>
        <v>1</v>
      </c>
      <c r="D65" s="2">
        <f>MIN(1,ROUND(62*全局参数!$B$9/(觉醒表!$D$29+0.0001),3))</f>
        <v>1</v>
      </c>
      <c r="E65" s="2">
        <f>MIN(1,ROUND(62*全局参数!$B$8*0.6/(装备强化表!$B$20+0.0001),3))</f>
        <v>1</v>
      </c>
      <c r="F65" s="2">
        <f ca="1" t="shared" si="0"/>
        <v>0</v>
      </c>
    </row>
    <row r="66" ht="15" spans="1:6">
      <c r="A66" s="2">
        <v>63</v>
      </c>
      <c r="B66" s="2">
        <f>MIN(1,ROUND(63*全局参数!$B$4/等级经验表!$B$63,3))</f>
        <v>1</v>
      </c>
      <c r="C66" s="2">
        <f>MIN(1,ROUND(63*全局参数!$B$8*0.4/(升星表!$B$9+0.0001),3))</f>
        <v>1</v>
      </c>
      <c r="D66" s="2">
        <f>MIN(1,ROUND(63*全局参数!$B$9/(觉醒表!$D$29+0.0001),3))</f>
        <v>1</v>
      </c>
      <c r="E66" s="2">
        <f>MIN(1,ROUND(63*全局参数!$B$8*0.6/(装备强化表!$B$20+0.0001),3))</f>
        <v>1</v>
      </c>
      <c r="F66" s="2">
        <f ca="1" t="shared" si="0"/>
        <v>0</v>
      </c>
    </row>
    <row r="67" ht="15" spans="1:6">
      <c r="A67" s="2">
        <v>64</v>
      </c>
      <c r="B67" s="2">
        <f>MIN(1,ROUND(64*全局参数!$B$4/等级经验表!$B$63,3))</f>
        <v>1</v>
      </c>
      <c r="C67" s="2">
        <f>MIN(1,ROUND(64*全局参数!$B$8*0.4/(升星表!$B$9+0.0001),3))</f>
        <v>1</v>
      </c>
      <c r="D67" s="2">
        <f>MIN(1,ROUND(64*全局参数!$B$9/(觉醒表!$D$29+0.0001),3))</f>
        <v>1</v>
      </c>
      <c r="E67" s="2">
        <f>MIN(1,ROUND(64*全局参数!$B$8*0.6/(装备强化表!$B$20+0.0001),3))</f>
        <v>1</v>
      </c>
      <c r="F67" s="2">
        <f ca="1" t="shared" si="0"/>
        <v>0</v>
      </c>
    </row>
    <row r="68" ht="15" spans="1:6">
      <c r="A68" s="2">
        <v>65</v>
      </c>
      <c r="B68" s="2">
        <f>MIN(1,ROUND(65*全局参数!$B$4/等级经验表!$B$63,3))</f>
        <v>1</v>
      </c>
      <c r="C68" s="2">
        <f>MIN(1,ROUND(65*全局参数!$B$8*0.4/(升星表!$B$9+0.0001),3))</f>
        <v>1</v>
      </c>
      <c r="D68" s="2">
        <f>MIN(1,ROUND(65*全局参数!$B$9/(觉醒表!$D$29+0.0001),3))</f>
        <v>1</v>
      </c>
      <c r="E68" s="2">
        <f>MIN(1,ROUND(65*全局参数!$B$8*0.6/(装备强化表!$B$20+0.0001),3))</f>
        <v>1</v>
      </c>
      <c r="F68" s="2">
        <f ca="1" t="shared" ref="F68:F93" si="1">ROUND(0.35*C68+0.15*D68+0.15*E68+0.35*F68,3)</f>
        <v>0</v>
      </c>
    </row>
    <row r="69" ht="15" spans="1:6">
      <c r="A69" s="2">
        <v>66</v>
      </c>
      <c r="B69" s="2">
        <f>MIN(1,ROUND(66*全局参数!$B$4/等级经验表!$B$63,3))</f>
        <v>1</v>
      </c>
      <c r="C69" s="2">
        <f>MIN(1,ROUND(66*全局参数!$B$8*0.4/(升星表!$B$9+0.0001),3))</f>
        <v>1</v>
      </c>
      <c r="D69" s="2">
        <f>MIN(1,ROUND(66*全局参数!$B$9/(觉醒表!$D$29+0.0001),3))</f>
        <v>1</v>
      </c>
      <c r="E69" s="2">
        <f>MIN(1,ROUND(66*全局参数!$B$8*0.6/(装备强化表!$B$20+0.0001),3))</f>
        <v>1</v>
      </c>
      <c r="F69" s="2">
        <f ca="1" t="shared" si="1"/>
        <v>0</v>
      </c>
    </row>
    <row r="70" ht="15" spans="1:6">
      <c r="A70" s="2">
        <v>67</v>
      </c>
      <c r="B70" s="2">
        <f>MIN(1,ROUND(67*全局参数!$B$4/等级经验表!$B$63,3))</f>
        <v>1</v>
      </c>
      <c r="C70" s="2">
        <f>MIN(1,ROUND(67*全局参数!$B$8*0.4/(升星表!$B$9+0.0001),3))</f>
        <v>1</v>
      </c>
      <c r="D70" s="2">
        <f>MIN(1,ROUND(67*全局参数!$B$9/(觉醒表!$D$29+0.0001),3))</f>
        <v>1</v>
      </c>
      <c r="E70" s="2">
        <f>MIN(1,ROUND(67*全局参数!$B$8*0.6/(装备强化表!$B$20+0.0001),3))</f>
        <v>1</v>
      </c>
      <c r="F70" s="2">
        <f ca="1" t="shared" si="1"/>
        <v>0</v>
      </c>
    </row>
    <row r="71" ht="15" spans="1:6">
      <c r="A71" s="2">
        <v>68</v>
      </c>
      <c r="B71" s="2">
        <f>MIN(1,ROUND(68*全局参数!$B$4/等级经验表!$B$63,3))</f>
        <v>1</v>
      </c>
      <c r="C71" s="2">
        <f>MIN(1,ROUND(68*全局参数!$B$8*0.4/(升星表!$B$9+0.0001),3))</f>
        <v>1</v>
      </c>
      <c r="D71" s="2">
        <f>MIN(1,ROUND(68*全局参数!$B$9/(觉醒表!$D$29+0.0001),3))</f>
        <v>1</v>
      </c>
      <c r="E71" s="2">
        <f>MIN(1,ROUND(68*全局参数!$B$8*0.6/(装备强化表!$B$20+0.0001),3))</f>
        <v>1</v>
      </c>
      <c r="F71" s="2">
        <f ca="1" t="shared" si="1"/>
        <v>0</v>
      </c>
    </row>
    <row r="72" ht="15" spans="1:6">
      <c r="A72" s="2">
        <v>69</v>
      </c>
      <c r="B72" s="2">
        <f>MIN(1,ROUND(69*全局参数!$B$4/等级经验表!$B$63,3))</f>
        <v>1</v>
      </c>
      <c r="C72" s="2">
        <f>MIN(1,ROUND(69*全局参数!$B$8*0.4/(升星表!$B$9+0.0001),3))</f>
        <v>1</v>
      </c>
      <c r="D72" s="2">
        <f>MIN(1,ROUND(69*全局参数!$B$9/(觉醒表!$D$29+0.0001),3))</f>
        <v>1</v>
      </c>
      <c r="E72" s="2">
        <f>MIN(1,ROUND(69*全局参数!$B$8*0.6/(装备强化表!$B$20+0.0001),3))</f>
        <v>1</v>
      </c>
      <c r="F72" s="2">
        <f ca="1" t="shared" si="1"/>
        <v>0</v>
      </c>
    </row>
    <row r="73" ht="15" spans="1:6">
      <c r="A73" s="2">
        <v>70</v>
      </c>
      <c r="B73" s="2">
        <f>MIN(1,ROUND(70*全局参数!$B$4/等级经验表!$B$63,3))</f>
        <v>1</v>
      </c>
      <c r="C73" s="2">
        <f>MIN(1,ROUND(70*全局参数!$B$8*0.4/(升星表!$B$9+0.0001),3))</f>
        <v>1</v>
      </c>
      <c r="D73" s="2">
        <f>MIN(1,ROUND(70*全局参数!$B$9/(觉醒表!$D$29+0.0001),3))</f>
        <v>1</v>
      </c>
      <c r="E73" s="2">
        <f>MIN(1,ROUND(70*全局参数!$B$8*0.6/(装备强化表!$B$20+0.0001),3))</f>
        <v>1</v>
      </c>
      <c r="F73" s="2">
        <f ca="1" t="shared" si="1"/>
        <v>0</v>
      </c>
    </row>
    <row r="74" ht="15" spans="1:6">
      <c r="A74" s="2">
        <v>71</v>
      </c>
      <c r="B74" s="2">
        <f>MIN(1,ROUND(71*全局参数!$B$4/等级经验表!$B$63,3))</f>
        <v>1</v>
      </c>
      <c r="C74" s="2">
        <f>MIN(1,ROUND(71*全局参数!$B$8*0.4/(升星表!$B$9+0.0001),3))</f>
        <v>1</v>
      </c>
      <c r="D74" s="2">
        <f>MIN(1,ROUND(71*全局参数!$B$9/(觉醒表!$D$29+0.0001),3))</f>
        <v>1</v>
      </c>
      <c r="E74" s="2">
        <f>MIN(1,ROUND(71*全局参数!$B$8*0.6/(装备强化表!$B$20+0.0001),3))</f>
        <v>1</v>
      </c>
      <c r="F74" s="2">
        <f ca="1" t="shared" si="1"/>
        <v>0</v>
      </c>
    </row>
    <row r="75" ht="15" spans="1:6">
      <c r="A75" s="2">
        <v>72</v>
      </c>
      <c r="B75" s="2">
        <f>MIN(1,ROUND(72*全局参数!$B$4/等级经验表!$B$63,3))</f>
        <v>1</v>
      </c>
      <c r="C75" s="2">
        <f>MIN(1,ROUND(72*全局参数!$B$8*0.4/(升星表!$B$9+0.0001),3))</f>
        <v>1</v>
      </c>
      <c r="D75" s="2">
        <f>MIN(1,ROUND(72*全局参数!$B$9/(觉醒表!$D$29+0.0001),3))</f>
        <v>1</v>
      </c>
      <c r="E75" s="2">
        <f>MIN(1,ROUND(72*全局参数!$B$8*0.6/(装备强化表!$B$20+0.0001),3))</f>
        <v>1</v>
      </c>
      <c r="F75" s="2">
        <f ca="1" t="shared" si="1"/>
        <v>0</v>
      </c>
    </row>
    <row r="76" ht="15" spans="1:6">
      <c r="A76" s="2">
        <v>73</v>
      </c>
      <c r="B76" s="2">
        <f>MIN(1,ROUND(73*全局参数!$B$4/等级经验表!$B$63,3))</f>
        <v>1</v>
      </c>
      <c r="C76" s="2">
        <f>MIN(1,ROUND(73*全局参数!$B$8*0.4/(升星表!$B$9+0.0001),3))</f>
        <v>1</v>
      </c>
      <c r="D76" s="2">
        <f>MIN(1,ROUND(73*全局参数!$B$9/(觉醒表!$D$29+0.0001),3))</f>
        <v>1</v>
      </c>
      <c r="E76" s="2">
        <f>MIN(1,ROUND(73*全局参数!$B$8*0.6/(装备强化表!$B$20+0.0001),3))</f>
        <v>1</v>
      </c>
      <c r="F76" s="2">
        <f ca="1" t="shared" si="1"/>
        <v>0</v>
      </c>
    </row>
    <row r="77" ht="15" spans="1:6">
      <c r="A77" s="2">
        <v>74</v>
      </c>
      <c r="B77" s="2">
        <f>MIN(1,ROUND(74*全局参数!$B$4/等级经验表!$B$63,3))</f>
        <v>1</v>
      </c>
      <c r="C77" s="2">
        <f>MIN(1,ROUND(74*全局参数!$B$8*0.4/(升星表!$B$9+0.0001),3))</f>
        <v>1</v>
      </c>
      <c r="D77" s="2">
        <f>MIN(1,ROUND(74*全局参数!$B$9/(觉醒表!$D$29+0.0001),3))</f>
        <v>1</v>
      </c>
      <c r="E77" s="2">
        <f>MIN(1,ROUND(74*全局参数!$B$8*0.6/(装备强化表!$B$20+0.0001),3))</f>
        <v>1</v>
      </c>
      <c r="F77" s="2">
        <f ca="1" t="shared" si="1"/>
        <v>0</v>
      </c>
    </row>
    <row r="78" ht="15" spans="1:6">
      <c r="A78" s="2">
        <v>75</v>
      </c>
      <c r="B78" s="2">
        <f>MIN(1,ROUND(75*全局参数!$B$4/等级经验表!$B$63,3))</f>
        <v>1</v>
      </c>
      <c r="C78" s="2">
        <f>MIN(1,ROUND(75*全局参数!$B$8*0.4/(升星表!$B$9+0.0001),3))</f>
        <v>1</v>
      </c>
      <c r="D78" s="2">
        <f>MIN(1,ROUND(75*全局参数!$B$9/(觉醒表!$D$29+0.0001),3))</f>
        <v>1</v>
      </c>
      <c r="E78" s="2">
        <f>MIN(1,ROUND(75*全局参数!$B$8*0.6/(装备强化表!$B$20+0.0001),3))</f>
        <v>1</v>
      </c>
      <c r="F78" s="2">
        <f ca="1" t="shared" si="1"/>
        <v>0</v>
      </c>
    </row>
    <row r="79" ht="15" spans="1:6">
      <c r="A79" s="2">
        <v>76</v>
      </c>
      <c r="B79" s="2">
        <f>MIN(1,ROUND(76*全局参数!$B$4/等级经验表!$B$63,3))</f>
        <v>1</v>
      </c>
      <c r="C79" s="2">
        <f>MIN(1,ROUND(76*全局参数!$B$8*0.4/(升星表!$B$9+0.0001),3))</f>
        <v>1</v>
      </c>
      <c r="D79" s="2">
        <f>MIN(1,ROUND(76*全局参数!$B$9/(觉醒表!$D$29+0.0001),3))</f>
        <v>1</v>
      </c>
      <c r="E79" s="2">
        <f>MIN(1,ROUND(76*全局参数!$B$8*0.6/(装备强化表!$B$20+0.0001),3))</f>
        <v>1</v>
      </c>
      <c r="F79" s="2">
        <f ca="1" t="shared" si="1"/>
        <v>0</v>
      </c>
    </row>
    <row r="80" ht="15" spans="1:6">
      <c r="A80" s="2">
        <v>77</v>
      </c>
      <c r="B80" s="2">
        <f>MIN(1,ROUND(77*全局参数!$B$4/等级经验表!$B$63,3))</f>
        <v>1</v>
      </c>
      <c r="C80" s="2">
        <f>MIN(1,ROUND(77*全局参数!$B$8*0.4/(升星表!$B$9+0.0001),3))</f>
        <v>1</v>
      </c>
      <c r="D80" s="2">
        <f>MIN(1,ROUND(77*全局参数!$B$9/(觉醒表!$D$29+0.0001),3))</f>
        <v>1</v>
      </c>
      <c r="E80" s="2">
        <f>MIN(1,ROUND(77*全局参数!$B$8*0.6/(装备强化表!$B$20+0.0001),3))</f>
        <v>1</v>
      </c>
      <c r="F80" s="2">
        <f ca="1" t="shared" si="1"/>
        <v>0</v>
      </c>
    </row>
    <row r="81" ht="15" spans="1:6">
      <c r="A81" s="2">
        <v>78</v>
      </c>
      <c r="B81" s="2">
        <f>MIN(1,ROUND(78*全局参数!$B$4/等级经验表!$B$63,3))</f>
        <v>1</v>
      </c>
      <c r="C81" s="2">
        <f>MIN(1,ROUND(78*全局参数!$B$8*0.4/(升星表!$B$9+0.0001),3))</f>
        <v>1</v>
      </c>
      <c r="D81" s="2">
        <f>MIN(1,ROUND(78*全局参数!$B$9/(觉醒表!$D$29+0.0001),3))</f>
        <v>1</v>
      </c>
      <c r="E81" s="2">
        <f>MIN(1,ROUND(78*全局参数!$B$8*0.6/(装备强化表!$B$20+0.0001),3))</f>
        <v>1</v>
      </c>
      <c r="F81" s="2">
        <f ca="1" t="shared" si="1"/>
        <v>0</v>
      </c>
    </row>
    <row r="82" ht="15" spans="1:6">
      <c r="A82" s="2">
        <v>79</v>
      </c>
      <c r="B82" s="2">
        <f>MIN(1,ROUND(79*全局参数!$B$4/等级经验表!$B$63,3))</f>
        <v>1</v>
      </c>
      <c r="C82" s="2">
        <f>MIN(1,ROUND(79*全局参数!$B$8*0.4/(升星表!$B$9+0.0001),3))</f>
        <v>1</v>
      </c>
      <c r="D82" s="2">
        <f>MIN(1,ROUND(79*全局参数!$B$9/(觉醒表!$D$29+0.0001),3))</f>
        <v>1</v>
      </c>
      <c r="E82" s="2">
        <f>MIN(1,ROUND(79*全局参数!$B$8*0.6/(装备强化表!$B$20+0.0001),3))</f>
        <v>1</v>
      </c>
      <c r="F82" s="2">
        <f ca="1" t="shared" si="1"/>
        <v>0</v>
      </c>
    </row>
    <row r="83" ht="15" spans="1:6">
      <c r="A83" s="2">
        <v>80</v>
      </c>
      <c r="B83" s="2">
        <f>MIN(1,ROUND(80*全局参数!$B$4/等级经验表!$B$63,3))</f>
        <v>1</v>
      </c>
      <c r="C83" s="2">
        <f>MIN(1,ROUND(80*全局参数!$B$8*0.4/(升星表!$B$9+0.0001),3))</f>
        <v>1</v>
      </c>
      <c r="D83" s="2">
        <f>MIN(1,ROUND(80*全局参数!$B$9/(觉醒表!$D$29+0.0001),3))</f>
        <v>1</v>
      </c>
      <c r="E83" s="2">
        <f>MIN(1,ROUND(80*全局参数!$B$8*0.6/(装备强化表!$B$20+0.0001),3))</f>
        <v>1</v>
      </c>
      <c r="F83" s="2">
        <f ca="1" t="shared" si="1"/>
        <v>0</v>
      </c>
    </row>
    <row r="84" ht="15" spans="1:6">
      <c r="A84" s="2">
        <v>81</v>
      </c>
      <c r="B84" s="2">
        <f>MIN(1,ROUND(81*全局参数!$B$4/等级经验表!$B$63,3))</f>
        <v>1</v>
      </c>
      <c r="C84" s="2">
        <f>MIN(1,ROUND(81*全局参数!$B$8*0.4/(升星表!$B$9+0.0001),3))</f>
        <v>1</v>
      </c>
      <c r="D84" s="2">
        <f>MIN(1,ROUND(81*全局参数!$B$9/(觉醒表!$D$29+0.0001),3))</f>
        <v>1</v>
      </c>
      <c r="E84" s="2">
        <f>MIN(1,ROUND(81*全局参数!$B$8*0.6/(装备强化表!$B$20+0.0001),3))</f>
        <v>1</v>
      </c>
      <c r="F84" s="2">
        <f ca="1" t="shared" si="1"/>
        <v>0</v>
      </c>
    </row>
    <row r="85" ht="15" spans="1:6">
      <c r="A85" s="2">
        <v>82</v>
      </c>
      <c r="B85" s="2">
        <f>MIN(1,ROUND(82*全局参数!$B$4/等级经验表!$B$63,3))</f>
        <v>1</v>
      </c>
      <c r="C85" s="2">
        <f>MIN(1,ROUND(82*全局参数!$B$8*0.4/(升星表!$B$9+0.0001),3))</f>
        <v>1</v>
      </c>
      <c r="D85" s="2">
        <f>MIN(1,ROUND(82*全局参数!$B$9/(觉醒表!$D$29+0.0001),3))</f>
        <v>1</v>
      </c>
      <c r="E85" s="2">
        <f>MIN(1,ROUND(82*全局参数!$B$8*0.6/(装备强化表!$B$20+0.0001),3))</f>
        <v>1</v>
      </c>
      <c r="F85" s="2">
        <f ca="1" t="shared" si="1"/>
        <v>0</v>
      </c>
    </row>
    <row r="86" ht="15" spans="1:6">
      <c r="A86" s="2">
        <v>83</v>
      </c>
      <c r="B86" s="2">
        <f>MIN(1,ROUND(83*全局参数!$B$4/等级经验表!$B$63,3))</f>
        <v>1</v>
      </c>
      <c r="C86" s="2">
        <f>MIN(1,ROUND(83*全局参数!$B$8*0.4/(升星表!$B$9+0.0001),3))</f>
        <v>1</v>
      </c>
      <c r="D86" s="2">
        <f>MIN(1,ROUND(83*全局参数!$B$9/(觉醒表!$D$29+0.0001),3))</f>
        <v>1</v>
      </c>
      <c r="E86" s="2">
        <f>MIN(1,ROUND(83*全局参数!$B$8*0.6/(装备强化表!$B$20+0.0001),3))</f>
        <v>1</v>
      </c>
      <c r="F86" s="2">
        <f ca="1" t="shared" si="1"/>
        <v>0</v>
      </c>
    </row>
    <row r="87" ht="15" spans="1:6">
      <c r="A87" s="2">
        <v>84</v>
      </c>
      <c r="B87" s="2">
        <f>MIN(1,ROUND(84*全局参数!$B$4/等级经验表!$B$63,3))</f>
        <v>1</v>
      </c>
      <c r="C87" s="2">
        <f>MIN(1,ROUND(84*全局参数!$B$8*0.4/(升星表!$B$9+0.0001),3))</f>
        <v>1</v>
      </c>
      <c r="D87" s="2">
        <f>MIN(1,ROUND(84*全局参数!$B$9/(觉醒表!$D$29+0.0001),3))</f>
        <v>1</v>
      </c>
      <c r="E87" s="2">
        <f>MIN(1,ROUND(84*全局参数!$B$8*0.6/(装备强化表!$B$20+0.0001),3))</f>
        <v>1</v>
      </c>
      <c r="F87" s="2">
        <f ca="1" t="shared" si="1"/>
        <v>0</v>
      </c>
    </row>
    <row r="88" ht="15" spans="1:6">
      <c r="A88" s="2">
        <v>85</v>
      </c>
      <c r="B88" s="2">
        <f>MIN(1,ROUND(85*全局参数!$B$4/等级经验表!$B$63,3))</f>
        <v>1</v>
      </c>
      <c r="C88" s="2">
        <f>MIN(1,ROUND(85*全局参数!$B$8*0.4/(升星表!$B$9+0.0001),3))</f>
        <v>1</v>
      </c>
      <c r="D88" s="2">
        <f>MIN(1,ROUND(85*全局参数!$B$9/(觉醒表!$D$29+0.0001),3))</f>
        <v>1</v>
      </c>
      <c r="E88" s="2">
        <f>MIN(1,ROUND(85*全局参数!$B$8*0.6/(装备强化表!$B$20+0.0001),3))</f>
        <v>1</v>
      </c>
      <c r="F88" s="2">
        <f ca="1" t="shared" si="1"/>
        <v>0</v>
      </c>
    </row>
    <row r="89" ht="15" spans="1:6">
      <c r="A89" s="2">
        <v>86</v>
      </c>
      <c r="B89" s="2">
        <f>MIN(1,ROUND(86*全局参数!$B$4/等级经验表!$B$63,3))</f>
        <v>1</v>
      </c>
      <c r="C89" s="2">
        <f>MIN(1,ROUND(86*全局参数!$B$8*0.4/(升星表!$B$9+0.0001),3))</f>
        <v>1</v>
      </c>
      <c r="D89" s="2">
        <f>MIN(1,ROUND(86*全局参数!$B$9/(觉醒表!$D$29+0.0001),3))</f>
        <v>1</v>
      </c>
      <c r="E89" s="2">
        <f>MIN(1,ROUND(86*全局参数!$B$8*0.6/(装备强化表!$B$20+0.0001),3))</f>
        <v>1</v>
      </c>
      <c r="F89" s="2">
        <f ca="1" t="shared" si="1"/>
        <v>0</v>
      </c>
    </row>
    <row r="90" ht="15" spans="1:6">
      <c r="A90" s="2">
        <v>87</v>
      </c>
      <c r="B90" s="2">
        <f>MIN(1,ROUND(87*全局参数!$B$4/等级经验表!$B$63,3))</f>
        <v>1</v>
      </c>
      <c r="C90" s="2">
        <f>MIN(1,ROUND(87*全局参数!$B$8*0.4/(升星表!$B$9+0.0001),3))</f>
        <v>1</v>
      </c>
      <c r="D90" s="2">
        <f>MIN(1,ROUND(87*全局参数!$B$9/(觉醒表!$D$29+0.0001),3))</f>
        <v>1</v>
      </c>
      <c r="E90" s="2">
        <f>MIN(1,ROUND(87*全局参数!$B$8*0.6/(装备强化表!$B$20+0.0001),3))</f>
        <v>1</v>
      </c>
      <c r="F90" s="2">
        <f ca="1" t="shared" si="1"/>
        <v>0</v>
      </c>
    </row>
    <row r="91" ht="15" spans="1:6">
      <c r="A91" s="2">
        <v>88</v>
      </c>
      <c r="B91" s="2">
        <f>MIN(1,ROUND(88*全局参数!$B$4/等级经验表!$B$63,3))</f>
        <v>1</v>
      </c>
      <c r="C91" s="2">
        <f>MIN(1,ROUND(88*全局参数!$B$8*0.4/(升星表!$B$9+0.0001),3))</f>
        <v>1</v>
      </c>
      <c r="D91" s="2">
        <f>MIN(1,ROUND(88*全局参数!$B$9/(觉醒表!$D$29+0.0001),3))</f>
        <v>1</v>
      </c>
      <c r="E91" s="2">
        <f>MIN(1,ROUND(88*全局参数!$B$8*0.6/(装备强化表!$B$20+0.0001),3))</f>
        <v>1</v>
      </c>
      <c r="F91" s="2">
        <f ca="1" t="shared" si="1"/>
        <v>0</v>
      </c>
    </row>
    <row r="92" ht="15" spans="1:6">
      <c r="A92" s="2">
        <v>89</v>
      </c>
      <c r="B92" s="2">
        <f>MIN(1,ROUND(89*全局参数!$B$4/等级经验表!$B$63,3))</f>
        <v>1</v>
      </c>
      <c r="C92" s="2">
        <f>MIN(1,ROUND(89*全局参数!$B$8*0.4/(升星表!$B$9+0.0001),3))</f>
        <v>1</v>
      </c>
      <c r="D92" s="2">
        <f>MIN(1,ROUND(89*全局参数!$B$9/(觉醒表!$D$29+0.0001),3))</f>
        <v>1</v>
      </c>
      <c r="E92" s="2">
        <f>MIN(1,ROUND(89*全局参数!$B$8*0.6/(装备强化表!$B$20+0.0001),3))</f>
        <v>1</v>
      </c>
      <c r="F92" s="2">
        <f ca="1" t="shared" si="1"/>
        <v>0</v>
      </c>
    </row>
    <row r="93" ht="15" spans="1:6">
      <c r="A93" s="2">
        <v>90</v>
      </c>
      <c r="B93" s="2">
        <f>MIN(1,ROUND(90*全局参数!$B$4/等级经验表!$B$63,3))</f>
        <v>1</v>
      </c>
      <c r="C93" s="2">
        <f>MIN(1,ROUND(90*全局参数!$B$8*0.4/(升星表!$B$9+0.0001),3))</f>
        <v>1</v>
      </c>
      <c r="D93" s="2">
        <f>MIN(1,ROUND(90*全局参数!$B$9/(觉醒表!$D$29+0.0001),3))</f>
        <v>1</v>
      </c>
      <c r="E93" s="2">
        <f>MIN(1,ROUND(90*全局参数!$B$8*0.6/(装备强化表!$B$20+0.0001),3))</f>
        <v>1</v>
      </c>
      <c r="F93" s="2">
        <f ca="1" t="shared" si="1"/>
        <v>0</v>
      </c>
    </row>
    <row r="95" spans="1:6">
      <c r="A95" s="6" t="s">
        <v>159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3" sqref="D3"/>
    </sheetView>
  </sheetViews>
  <sheetFormatPr defaultColWidth="9" defaultRowHeight="14.4" outlineLevelCol="4"/>
  <cols>
    <col min="1" max="1" width="30" customWidth="1"/>
    <col min="2" max="4" width="16" customWidth="1"/>
    <col min="5" max="5" width="44" customWidth="1"/>
  </cols>
  <sheetData>
    <row r="1" ht="17.4" spans="1:5">
      <c r="A1" s="3" t="s">
        <v>160</v>
      </c>
    </row>
    <row r="3" ht="15.6" spans="1:5">
      <c r="A3" s="4" t="s">
        <v>161</v>
      </c>
      <c r="B3" s="5">
        <f>等级经验表!$B$63</f>
        <v>6750137</v>
      </c>
      <c r="C3" s="5">
        <f>全局参数!$B$3*全局参数!$B$4</f>
        <v>6750000</v>
      </c>
      <c r="D3" s="4">
        <f>全局参数!$B$3*全局参数!$B$4</f>
        <v>6750000</v>
      </c>
      <c r="E3" s="4" t="str">
        <f>IF(C4&gt;=B4,"✓ 达标","✗ 缺口 "&amp;(B4-C4))</f>
        <v>✓ 达标</v>
      </c>
    </row>
    <row r="4" ht="15.6" spans="1:5">
      <c r="A4" s="4" t="s">
        <v>162</v>
      </c>
      <c r="B4" s="5">
        <f>升星表!$B$9+装备强化表!$B$20+觉醒表!$C$29*1000</f>
        <v>6933852</v>
      </c>
      <c r="C4" s="5">
        <f>全局参数!$B$3*全局参数!$B$8</f>
        <v>18000000</v>
      </c>
      <c r="D4" s="4">
        <f>全局参数!$B$3*全局参数!$B$8</f>
        <v>18000000</v>
      </c>
      <c r="E4" s="4" t="str">
        <f>IF(C5&gt;=B5,"✓ 达标（结余转入长线装备养成）","✗ 缺口 "&amp;(B5-C5))</f>
        <v>✓ 达标（结余转入长线装备养成）</v>
      </c>
    </row>
    <row r="5" ht="15.6" spans="1:5">
      <c r="A5" s="4" t="s">
        <v>163</v>
      </c>
      <c r="B5" s="5">
        <f>觉醒表!$D$29</f>
        <v>25</v>
      </c>
      <c r="C5" s="5">
        <f>全局参数!$B$3*全局参数!$B$9</f>
        <v>45</v>
      </c>
      <c r="D5" s="4">
        <f>全局参数!$B$3*全局参数!$B$9</f>
        <v>45</v>
      </c>
      <c r="E5" s="4" t="str">
        <f>IF(C6&gt;=B6,"✓ 达标","✗ 缺口 "&amp;(B6-C6))</f>
        <v>✓ 达标</v>
      </c>
    </row>
    <row r="6" ht="15.6" spans="1:5">
      <c r="A6" s="4" t="s">
        <v>164</v>
      </c>
      <c r="B6" s="5">
        <f>觉醒表!$C$29</f>
        <v>1550</v>
      </c>
      <c r="C6" s="5">
        <f>全局参数!$B$3*全局参数!$B$10</f>
        <v>1800</v>
      </c>
      <c r="D6" s="4">
        <f>全局参数!$B$3*全局参数!$B$10</f>
        <v>1800</v>
      </c>
      <c r="E6" s="4" t="str">
        <f>IF(C7&gt;=B7,"✓ 达标","✗ 缺口 "&amp;(B7-C7))</f>
        <v>✓ 达标</v>
      </c>
    </row>
    <row r="8" spans="1:5">
      <c r="A8" s="6" t="s">
        <v>165</v>
      </c>
    </row>
    <row r="9" spans="1:5">
      <c r="A9" s="6" t="s">
        <v>166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7" sqref="A7"/>
    </sheetView>
  </sheetViews>
  <sheetFormatPr defaultColWidth="9" defaultRowHeight="14.4" outlineLevelRow="6"/>
  <cols>
    <col min="1" max="1" width="100" customWidth="1"/>
  </cols>
  <sheetData>
    <row r="1" ht="15.6" spans="1:1">
      <c r="A1" s="1" t="s">
        <v>167</v>
      </c>
    </row>
    <row r="2" ht="15" spans="1:1">
      <c r="A2" s="2" t="s">
        <v>168</v>
      </c>
    </row>
    <row r="3" ht="15" spans="1:1">
      <c r="A3" s="2" t="s">
        <v>169</v>
      </c>
    </row>
    <row r="4" ht="15" spans="1:1">
      <c r="A4" s="2" t="s">
        <v>170</v>
      </c>
    </row>
    <row r="5" ht="15" spans="1:1">
      <c r="A5" s="2" t="s">
        <v>171</v>
      </c>
    </row>
    <row r="6" ht="15" spans="1:1">
      <c r="A6" s="2" t="s">
        <v>172</v>
      </c>
    </row>
    <row r="7" ht="15" spans="1:1">
      <c r="A7" s="2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全局参数</vt:lpstr>
      <vt:lpstr>等级经验表</vt:lpstr>
      <vt:lpstr>升星表</vt:lpstr>
      <vt:lpstr>觉醒表</vt:lpstr>
      <vt:lpstr>装备强化表</vt:lpstr>
      <vt:lpstr>90天成长模拟</vt:lpstr>
      <vt:lpstr>投放与周期校验</vt:lpstr>
      <vt:lpstr>方法论说明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WPS_1648176107</cp:lastModifiedBy>
  <dcterms:created xsi:type="dcterms:W3CDTF">2026-10-21T04:22:00Z</dcterms:created>
  <dcterms:modified xsi:type="dcterms:W3CDTF">2026-10-21T04:53:02Z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7241C192FE4A48CA9DBFCCF8CC4A023D_12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