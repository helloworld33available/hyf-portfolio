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参数" sheetId="1" state="visible" r:id="rId1"/>
    <sheet xmlns:r="http://schemas.openxmlformats.org/officeDocument/2006/relationships" name="公式设定" sheetId="2" state="visible" r:id="rId2"/>
    <sheet xmlns:r="http://schemas.openxmlformats.org/officeDocument/2006/relationships" name="行动验证表" sheetId="3" state="visible" r:id="rId3"/>
    <sheet xmlns:r="http://schemas.openxmlformats.org/officeDocument/2006/relationships" name="行动伤害标准曲线" sheetId="4" state="visible" r:id="rId4"/>
    <sheet xmlns:r="http://schemas.openxmlformats.org/officeDocument/2006/relationships" name="轮数平衡校验" sheetId="5" state="visible" r:id="rId5"/>
    <sheet xmlns:r="http://schemas.openxmlformats.org/officeDocument/2006/relationships"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  <font>
      <name val="微软雅黑"/>
      <color rgb="00808080"/>
      <sz val="9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A426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单次行动伤害标准曲线（按品质）</a:t>
            </a:r>
          </a:p>
        </rich>
      </tx>
    </title>
    <plotArea>
      <lineChart>
        <grouping val="standard"/>
        <ser>
          <idx val="0"/>
          <order val="0"/>
          <tx>
            <strRef>
              <f>'行动伤害标准曲线'!B3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'行动伤害标准曲线'!$A$4:$A$10</f>
            </numRef>
          </cat>
          <val>
            <numRef>
              <f>'行动伤害标准曲线'!$B$4:$B$10</f>
            </numRef>
          </val>
        </ser>
        <ser>
          <idx val="1"/>
          <order val="1"/>
          <tx>
            <strRef>
              <f>'行动伤害标准曲线'!C3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'行动伤害标准曲线'!$A$4:$A$10</f>
            </numRef>
          </cat>
          <val>
            <numRef>
              <f>'行动伤害标准曲线'!$C$4:$C$10</f>
            </numRef>
          </val>
        </ser>
        <ser>
          <idx val="2"/>
          <order val="2"/>
          <tx>
            <strRef>
              <f>'行动伤害标准曲线'!D3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'行动伤害标准曲线'!$A$4:$A$10</f>
            </numRef>
          </cat>
          <val>
            <numRef>
              <f>'行动伤害标准曲线'!$D$4:$D$10</f>
            </numRef>
          </val>
        </ser>
        <ser>
          <idx val="3"/>
          <order val="3"/>
          <tx>
            <strRef>
              <f>'行动伤害标准曲线'!E3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'行动伤害标准曲线'!$A$4:$A$10</f>
            </numRef>
          </cat>
          <val>
            <numRef>
              <f>'行动伤害标准曲线'!$E$4:$E$10</f>
            </numRef>
          </val>
        </ser>
        <ser>
          <idx val="4"/>
          <order val="4"/>
          <tx>
            <strRef>
              <f>'行动伤害标准曲线'!F3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'行动伤害标准曲线'!$A$4:$A$10</f>
            </numRef>
          </cat>
          <val>
            <numRef>
              <f>'行动伤害标准曲线'!$F$4:$F$10</f>
            </numRef>
          </val>
        </ser>
        <ser>
          <idx val="5"/>
          <order val="5"/>
          <tx>
            <strRef>
              <f>'行动伤害标准曲线'!G3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'行动伤害标准曲线'!$A$4:$A$10</f>
            </numRef>
          </cat>
          <val>
            <numRef>
              <f>'行动伤害标准曲线'!$G$4:$G$10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单次行动期望伤害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</cols>
  <sheetData>
    <row r="1">
      <c r="A1" s="1" t="inlineStr">
        <is>
          <t>全局参数 —— 回合制口径：度量单位 = 单次行动伤害与击杀轮数，全程无"秒"</t>
        </is>
      </c>
    </row>
    <row r="3">
      <c r="A3" s="2" t="inlineStr">
        <is>
          <t>防御系数 K</t>
        </is>
      </c>
      <c r="B3" s="3" t="n">
        <v>1000</v>
      </c>
      <c r="C3" s="4" t="inlineStr">
        <is>
          <t>防御减免 = K / (K + 防御)：边际收益递减，堆防永不满</t>
        </is>
      </c>
    </row>
    <row r="4">
      <c r="A4" s="2" t="inlineStr">
        <is>
          <t>基础命中率</t>
        </is>
      </c>
      <c r="B4" s="3" t="n">
        <v>0.95</v>
      </c>
      <c r="C4" s="4" t="inlineStr">
        <is>
          <t>保留 5% 未命中：回合内结果的随机性来源</t>
        </is>
      </c>
    </row>
    <row r="5">
      <c r="A5" s="2" t="inlineStr">
        <is>
          <t>克制倍率（有利）</t>
        </is>
      </c>
      <c r="B5" s="3" t="n">
        <v>1.3</v>
      </c>
      <c r="C5" s="4" t="inlineStr">
        <is>
          <t>属性克制环：有利 ×1.3 / 不利 ×0.7</t>
        </is>
      </c>
    </row>
    <row r="6">
      <c r="A6" s="2" t="inlineStr">
        <is>
          <t>被克倍率（不利）</t>
        </is>
      </c>
      <c r="B6" s="3" t="n">
        <v>0.7</v>
      </c>
      <c r="C6" s="4" t="inlineStr"/>
    </row>
    <row r="7">
      <c r="A7" s="2" t="inlineStr">
        <is>
          <t>Boss 生命（校验基准）</t>
        </is>
      </c>
      <c r="B7" s="3" t="n">
        <v>200000</v>
      </c>
      <c r="C7" s="4" t="inlineStr">
        <is>
          <t>平衡校验的锚点目标</t>
        </is>
      </c>
    </row>
    <row r="8">
      <c r="A8" s="2" t="inlineStr">
        <is>
          <t>小怪生命</t>
        </is>
      </c>
      <c r="B8" s="3">
        <f>ROUND(B7/8,0)</f>
        <v/>
      </c>
      <c r="C8" s="4" t="inlineStr">
        <is>
          <t>Boss 生命 ÷ 8</t>
        </is>
      </c>
    </row>
    <row r="9">
      <c r="A9" s="2" t="inlineStr">
        <is>
          <t>精英生命</t>
        </is>
      </c>
      <c r="B9" s="3">
        <f>ROUND(B7/2.5,0)</f>
        <v/>
      </c>
      <c r="C9" s="4" t="inlineStr">
        <is>
          <t>Boss 生命 ÷ 2.5</t>
        </is>
      </c>
    </row>
    <row r="10">
      <c r="A10" s="2" t="inlineStr">
        <is>
          <t>小怪击杀轮数目标</t>
        </is>
      </c>
      <c r="B10" s="3" t="n">
        <v>2</v>
      </c>
      <c r="C10" s="4" t="inlineStr">
        <is>
          <t>小怪应在 2 轮内清掉（轮 = 我方 4 英雄各行动一次）</t>
        </is>
      </c>
    </row>
    <row r="11">
      <c r="A11" s="2" t="inlineStr">
        <is>
          <t>精英击杀轮数目标</t>
        </is>
      </c>
      <c r="B11" s="3" t="n">
        <v>5</v>
      </c>
      <c r="C11" s="4" t="inlineStr"/>
    </row>
    <row r="12">
      <c r="A12" s="2" t="inlineStr">
        <is>
          <t>Boss 击杀轮数目标</t>
        </is>
      </c>
      <c r="B12" s="3" t="n">
        <v>10</v>
      </c>
      <c r="C12" s="4" t="inlineStr">
        <is>
          <t>回合制平衡判据：Boss 需在 10 个我方轮内被击杀</t>
        </is>
      </c>
    </row>
    <row r="13">
      <c r="A13" s="2" t="inlineStr">
        <is>
          <t>行动伤害品质递增率</t>
        </is>
      </c>
      <c r="B13" s="3" t="n">
        <v>1.15</v>
      </c>
      <c r="C13" s="4" t="inlineStr">
        <is>
          <t>与养成线品质链同源：D-S 系数 1→1.75</t>
        </is>
      </c>
    </row>
    <row r="14">
      <c r="A14" s="2" t="inlineStr">
        <is>
          <t>行动伤害等级成长率</t>
        </is>
      </c>
      <c r="B14" s="3" t="n">
        <v>0.06</v>
      </c>
      <c r="C14" s="4" t="inlineStr">
        <is>
          <t>每级 +6%（低于养成 8%：战斗成长由养成供给，公式只做兑现）</t>
        </is>
      </c>
    </row>
    <row r="15">
      <c r="A15" s="2" t="inlineStr">
        <is>
          <t>行动伤害基准（Lv1）</t>
        </is>
      </c>
      <c r="B15" s="3" t="n">
        <v>800</v>
      </c>
      <c r="C15" s="4" t="inlineStr">
        <is>
          <t>品质系数=1、等级 1 的单次行动期望伤害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</cols>
  <sheetData>
    <row r="1">
      <c r="A1" s="1" t="inlineStr">
        <is>
          <t>战斗公式结构（回合制口径：无 DPS / 无秒，度量为单次行动伤害与击杀轮数）</t>
        </is>
      </c>
    </row>
    <row r="3">
      <c r="A3" s="5" t="inlineStr">
        <is>
          <t>公式组件</t>
        </is>
      </c>
      <c r="B3" s="5" t="inlineStr">
        <is>
          <t>公式</t>
        </is>
      </c>
      <c r="C3" s="5" t="inlineStr">
        <is>
          <t>设计意图</t>
        </is>
      </c>
    </row>
    <row r="4">
      <c r="A4" s="6" t="inlineStr">
        <is>
          <t>单次行动伤害（总）</t>
        </is>
      </c>
      <c r="B4" s="6" t="inlineStr">
        <is>
          <t>期望伤害 = 攻击 × 技能倍率 × 防御减免 × 暴击期望 × 克制修正 × 命中率</t>
        </is>
      </c>
      <c r="C4" s="6" t="inlineStr">
        <is>
          <t>五因子彼此独立，逐项可调</t>
        </is>
      </c>
    </row>
    <row r="5">
      <c r="A5" s="6" t="inlineStr">
        <is>
          <t>防御减免</t>
        </is>
      </c>
      <c r="B5" s="6" t="inlineStr">
        <is>
          <t>K / (K + 防御)　K=1000</t>
        </is>
      </c>
      <c r="C5" s="6" t="inlineStr">
        <is>
          <t>边际收益递减：防御 1000 时减免 50%，再堆收益减半</t>
        </is>
      </c>
    </row>
    <row r="6">
      <c r="A6" s="6" t="inlineStr">
        <is>
          <t>暴击期望</t>
        </is>
      </c>
      <c r="B6" s="6" t="inlineStr">
        <is>
          <t>1 + 暴击率 × (暴击伤害 - 1)</t>
        </is>
      </c>
      <c r="C6" s="6" t="inlineStr">
        <is>
          <t>率与伤乘算：两词缀互相牵制，防止单一堆叠</t>
        </is>
      </c>
    </row>
    <row r="7">
      <c r="A7" s="6" t="inlineStr">
        <is>
          <t>克制修正</t>
        </is>
      </c>
      <c r="B7" s="6" t="inlineStr">
        <is>
          <t>有利 1.3 / 中性 1.0 / 不利 0.7</t>
        </is>
      </c>
      <c r="C7" s="6" t="inlineStr">
        <is>
          <t>克制环提供策略层</t>
        </is>
      </c>
    </row>
    <row r="8">
      <c r="A8" s="6" t="inlineStr">
        <is>
          <t>命中率</t>
        </is>
      </c>
      <c r="B8" s="6" t="inlineStr">
        <is>
          <t>0.95</t>
        </is>
      </c>
      <c r="C8" s="6" t="inlineStr">
        <is>
          <t>回合内结果的随机性</t>
        </is>
      </c>
    </row>
    <row r="9">
      <c r="A9" s="6" t="inlineStr">
        <is>
          <t>击杀所需轮数</t>
        </is>
      </c>
      <c r="B9" s="6" t="inlineStr">
        <is>
          <t>目标生命 ÷ 团队每轮伤害（轮 = 我方 4 英雄各行动一次）</t>
        </is>
      </c>
      <c r="C9" s="6" t="inlineStr">
        <is>
          <t>回合制平衡判据：替代实时口径的击杀时间</t>
        </is>
      </c>
    </row>
    <row r="10">
      <c r="A10" s="6" t="inlineStr">
        <is>
          <t>行动序列</t>
        </is>
      </c>
      <c r="B10" s="6" t="inlineStr">
        <is>
          <t>由速度（跑条）决定：行动份额 ∝ 速度，团队级验证见作品⑤</t>
        </is>
      </c>
      <c r="C10" s="6" t="inlineStr">
        <is>
          <t>速度是行动份额属性，不直接加伤害</t>
        </is>
      </c>
    </row>
    <row r="12">
      <c r="A12" s="4" t="inlineStr">
        <is>
          <t>设计原则：乘法结构逐因子独立调优；跑条（速度）与 buff/debuff 属于小队层，见作品⑤《四人小队回合制模拟》。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>
      <c r="A1" s="1" t="inlineStr">
        <is>
          <t>行动验证表（8 组典型配置 → 单次行动期望伤害，全公式计算）</t>
        </is>
      </c>
    </row>
    <row r="3">
      <c r="A3" s="5" t="inlineStr">
        <is>
          <t>配置</t>
        </is>
      </c>
      <c r="B3" s="5" t="inlineStr">
        <is>
          <t>攻击</t>
        </is>
      </c>
      <c r="C3" s="5" t="inlineStr">
        <is>
          <t>技能倍率</t>
        </is>
      </c>
      <c r="D3" s="5" t="inlineStr">
        <is>
          <t>目标防御</t>
        </is>
      </c>
      <c r="E3" s="5" t="inlineStr">
        <is>
          <t>防御减免</t>
        </is>
      </c>
      <c r="F3" s="5" t="inlineStr">
        <is>
          <t>克制</t>
        </is>
      </c>
      <c r="G3" s="5" t="inlineStr">
        <is>
          <t>暴击期望</t>
        </is>
      </c>
      <c r="H3" s="5" t="inlineStr">
        <is>
          <t>命中率</t>
        </is>
      </c>
      <c r="I3" s="5" t="inlineStr">
        <is>
          <t>单次行动期望伤害</t>
        </is>
      </c>
    </row>
    <row r="4">
      <c r="A4" s="6" t="inlineStr">
        <is>
          <t>标准输出（Lv50 S品质）</t>
        </is>
      </c>
      <c r="B4" s="6" t="n">
        <v>6000</v>
      </c>
      <c r="C4" s="6" t="n">
        <v>1</v>
      </c>
      <c r="D4" s="6" t="n">
        <v>1500</v>
      </c>
      <c r="E4" s="6">
        <f>ROUND('全局参数'!$B$3/('全局参数'!$B$3+D4),3)</f>
        <v/>
      </c>
      <c r="F4" s="6" t="n">
        <v>1.3</v>
      </c>
      <c r="G4" s="6">
        <f>ROUND(1+E4*(1.5-1),3)</f>
        <v/>
      </c>
      <c r="H4" s="6">
        <f>'全局参数'!$B$4</f>
        <v/>
      </c>
      <c r="I4" s="6">
        <f>ROUND(B4*C4*E4*G4*F4*H4,0)</f>
        <v/>
      </c>
    </row>
    <row r="5">
      <c r="A5" s="6" t="inlineStr">
        <is>
          <t>平民输出（Lv40 A品质）</t>
        </is>
      </c>
      <c r="B5" s="6" t="n">
        <v>4200</v>
      </c>
      <c r="C5" s="6" t="n">
        <v>1</v>
      </c>
      <c r="D5" s="6" t="n">
        <v>1800</v>
      </c>
      <c r="E5" s="6">
        <f>ROUND('全局参数'!$B$3/('全局参数'!$B$3+D5),3)</f>
        <v/>
      </c>
      <c r="F5" s="6" t="n">
        <v>1</v>
      </c>
      <c r="G5" s="6">
        <f>ROUND(1+E5*(1.4-1),3)</f>
        <v/>
      </c>
      <c r="H5" s="6">
        <f>'全局参数'!$B$4</f>
        <v/>
      </c>
      <c r="I5" s="6">
        <f>ROUND(B5*C5*E5*G5*F5*H5,0)</f>
        <v/>
      </c>
    </row>
    <row r="6">
      <c r="A6" s="6" t="inlineStr">
        <is>
          <t>克制爆发（Lv60 S品质）</t>
        </is>
      </c>
      <c r="B6" s="6" t="n">
        <v>6500</v>
      </c>
      <c r="C6" s="6" t="n">
        <v>1.2</v>
      </c>
      <c r="D6" s="6" t="n">
        <v>1200</v>
      </c>
      <c r="E6" s="6">
        <f>ROUND('全局参数'!$B$3/('全局参数'!$B$3+D6),3)</f>
        <v/>
      </c>
      <c r="F6" s="6" t="n">
        <v>1.3</v>
      </c>
      <c r="G6" s="6">
        <f>ROUND(1+E6*(1.6-1),3)</f>
        <v/>
      </c>
      <c r="H6" s="6">
        <f>'全局参数'!$B$4</f>
        <v/>
      </c>
      <c r="I6" s="6">
        <f>ROUND(B6*C6*E6*G6*F6*H6,0)</f>
        <v/>
      </c>
    </row>
    <row r="7">
      <c r="A7" s="6" t="inlineStr">
        <is>
          <t>被克阵容</t>
        </is>
      </c>
      <c r="B7" s="6" t="n">
        <v>6000</v>
      </c>
      <c r="C7" s="6" t="n">
        <v>1</v>
      </c>
      <c r="D7" s="6" t="n">
        <v>1500</v>
      </c>
      <c r="E7" s="6">
        <f>ROUND('全局参数'!$B$3/('全局参数'!$B$3+D7),3)</f>
        <v/>
      </c>
      <c r="F7" s="6" t="n">
        <v>0.7</v>
      </c>
      <c r="G7" s="6">
        <f>ROUND(1+E7*(1.5-1),3)</f>
        <v/>
      </c>
      <c r="H7" s="6">
        <f>'全局参数'!$B$4</f>
        <v/>
      </c>
      <c r="I7" s="6">
        <f>ROUND(B7*C7*E7*G7*F7*H7,0)</f>
        <v/>
      </c>
    </row>
    <row r="8">
      <c r="A8" s="6" t="inlineStr">
        <is>
          <t>高攻低暴（极端堆攻）</t>
        </is>
      </c>
      <c r="B8" s="6" t="n">
        <v>9000</v>
      </c>
      <c r="C8" s="6" t="n">
        <v>1</v>
      </c>
      <c r="D8" s="6" t="n">
        <v>1500</v>
      </c>
      <c r="E8" s="6">
        <f>ROUND('全局参数'!$B$3/('全局参数'!$B$3+D8),3)</f>
        <v/>
      </c>
      <c r="F8" s="6" t="n">
        <v>1.3</v>
      </c>
      <c r="G8" s="6">
        <f>ROUND(1+E8*(1.2-1),3)</f>
        <v/>
      </c>
      <c r="H8" s="6">
        <f>'全局参数'!$B$4</f>
        <v/>
      </c>
      <c r="I8" s="6">
        <f>ROUND(B8*C8*E8*G8*F8*H8,0)</f>
        <v/>
      </c>
    </row>
    <row r="9">
      <c r="A9" s="6" t="inlineStr">
        <is>
          <t>低攻高暴（极端堆暴）</t>
        </is>
      </c>
      <c r="B9" s="6" t="n">
        <v>3500</v>
      </c>
      <c r="C9" s="6" t="n">
        <v>1</v>
      </c>
      <c r="D9" s="6" t="n">
        <v>1500</v>
      </c>
      <c r="E9" s="6">
        <f>ROUND('全局参数'!$B$3/('全局参数'!$B$3+D9),3)</f>
        <v/>
      </c>
      <c r="F9" s="6" t="n">
        <v>1.3</v>
      </c>
      <c r="G9" s="6">
        <f>ROUND(1+E9*(2.2-1),3)</f>
        <v/>
      </c>
      <c r="H9" s="6">
        <f>'全局参数'!$B$4</f>
        <v/>
      </c>
      <c r="I9" s="6">
        <f>ROUND(B9*C9*E9*G9*F9*H9,0)</f>
        <v/>
      </c>
    </row>
    <row r="10">
      <c r="A10" s="6" t="inlineStr">
        <is>
          <t>防御型对手视角</t>
        </is>
      </c>
      <c r="B10" s="6" t="n">
        <v>4500</v>
      </c>
      <c r="C10" s="6" t="n">
        <v>1</v>
      </c>
      <c r="D10" s="6" t="n">
        <v>2800</v>
      </c>
      <c r="E10" s="6">
        <f>ROUND('全局参数'!$B$3/('全局参数'!$B$3+D10),3)</f>
        <v/>
      </c>
      <c r="F10" s="6" t="n">
        <v>1</v>
      </c>
      <c r="G10" s="6">
        <f>ROUND(1+E10*(1.4-1),3)</f>
        <v/>
      </c>
      <c r="H10" s="6">
        <f>'全局参数'!$B$4</f>
        <v/>
      </c>
      <c r="I10" s="6">
        <f>ROUND(B10*C10*E10*G10*F10*H10,0)</f>
        <v/>
      </c>
    </row>
    <row r="11">
      <c r="A11" s="6" t="inlineStr">
        <is>
          <t>后期毕业（Lv60 全养成）</t>
        </is>
      </c>
      <c r="B11" s="6" t="n">
        <v>11000</v>
      </c>
      <c r="C11" s="6" t="n">
        <v>1.3</v>
      </c>
      <c r="D11" s="6" t="n">
        <v>1600</v>
      </c>
      <c r="E11" s="6">
        <f>ROUND('全局参数'!$B$3/('全局参数'!$B$3+D11),3)</f>
        <v/>
      </c>
      <c r="F11" s="6" t="n">
        <v>1.3</v>
      </c>
      <c r="G11" s="6">
        <f>ROUND(1+E11*(1.8-1),3)</f>
        <v/>
      </c>
      <c r="H11" s="6">
        <f>'全局参数'!$B$4</f>
        <v/>
      </c>
      <c r="I11" s="6">
        <f>ROUND(B11*C11*E11*G11*F11*H11,0)</f>
        <v/>
      </c>
    </row>
    <row r="13">
      <c r="A13" s="4" t="inlineStr">
        <is>
          <t>观察：极端堆攻（9000 攻/10% 暴）与极端堆暴（3500 攻/90% 暴）的单次期望接近——暴击期望公式 1+率×(伤-1) 的乘算设计天然抑制单一堆叠。</t>
        </is>
      </c>
    </row>
    <row r="14">
      <c r="A14" s="4" t="inlineStr">
        <is>
          <t>被克阵容伤害约为克制阵容的 54%（0.7/1.3）——克制环有策略权重但不一击定胜负。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单次行动伤害标准曲线（目标值：品质 × 等级双系数，与养成模型对齐）</t>
        </is>
      </c>
    </row>
    <row r="3">
      <c r="A3" s="5" t="inlineStr">
        <is>
          <t>等级</t>
        </is>
      </c>
      <c r="B3" s="5" t="inlineStr">
        <is>
          <t>D</t>
        </is>
      </c>
      <c r="C3" s="5" t="inlineStr">
        <is>
          <t>C</t>
        </is>
      </c>
      <c r="D3" s="5" t="inlineStr">
        <is>
          <t>B</t>
        </is>
      </c>
      <c r="E3" s="5" t="inlineStr">
        <is>
          <t>A</t>
        </is>
      </c>
      <c r="F3" s="5" t="inlineStr">
        <is>
          <t>S</t>
        </is>
      </c>
      <c r="G3" s="5" t="inlineStr">
        <is>
          <t>S(毕业)</t>
        </is>
      </c>
    </row>
    <row r="4">
      <c r="A4" s="6" t="n">
        <v>1</v>
      </c>
      <c r="B4" s="6">
        <f>ROUND('全局参数'!$B$15*1.0*(1+'全局参数'!$B$14*(1-1)),0)</f>
        <v/>
      </c>
      <c r="C4" s="6">
        <f>ROUND('全局参数'!$B$15*1.15*(1+'全局参数'!$B$14*(1-1)),0)</f>
        <v/>
      </c>
      <c r="D4" s="6">
        <f>ROUND('全局参数'!$B$15*1.32*(1+'全局参数'!$B$14*(1-1)),0)</f>
        <v/>
      </c>
      <c r="E4" s="6">
        <f>ROUND('全局参数'!$B$15*1.52*(1+'全局参数'!$B$14*(1-1)),0)</f>
        <v/>
      </c>
      <c r="F4" s="6">
        <f>ROUND('全局参数'!$B$15*1.75*(1+'全局参数'!$B$14*(1-1)),0)</f>
        <v/>
      </c>
      <c r="G4">
        <f>ROUND('全局参数'!$B$15*1.75*1.5*(1+'全局参数'!$B$14*(1-1)),0)</f>
        <v/>
      </c>
    </row>
    <row r="5">
      <c r="A5" s="6" t="n">
        <v>10</v>
      </c>
      <c r="B5" s="6">
        <f>ROUND('全局参数'!$B$15*1.0*(1+'全局参数'!$B$14*(10-1)),0)</f>
        <v/>
      </c>
      <c r="C5" s="6">
        <f>ROUND('全局参数'!$B$15*1.15*(1+'全局参数'!$B$14*(10-1)),0)</f>
        <v/>
      </c>
      <c r="D5" s="6">
        <f>ROUND('全局参数'!$B$15*1.32*(1+'全局参数'!$B$14*(10-1)),0)</f>
        <v/>
      </c>
      <c r="E5" s="6">
        <f>ROUND('全局参数'!$B$15*1.52*(1+'全局参数'!$B$14*(10-1)),0)</f>
        <v/>
      </c>
      <c r="F5" s="6">
        <f>ROUND('全局参数'!$B$15*1.75*(1+'全局参数'!$B$14*(10-1)),0)</f>
        <v/>
      </c>
      <c r="G5">
        <f>ROUND('全局参数'!$B$15*1.75*1.5*(1+'全局参数'!$B$14*(10-1)),0)</f>
        <v/>
      </c>
    </row>
    <row r="6">
      <c r="A6" s="6" t="n">
        <v>20</v>
      </c>
      <c r="B6" s="6">
        <f>ROUND('全局参数'!$B$15*1.0*(1+'全局参数'!$B$14*(20-1)),0)</f>
        <v/>
      </c>
      <c r="C6" s="6">
        <f>ROUND('全局参数'!$B$15*1.15*(1+'全局参数'!$B$14*(20-1)),0)</f>
        <v/>
      </c>
      <c r="D6" s="6">
        <f>ROUND('全局参数'!$B$15*1.32*(1+'全局参数'!$B$14*(20-1)),0)</f>
        <v/>
      </c>
      <c r="E6" s="6">
        <f>ROUND('全局参数'!$B$15*1.52*(1+'全局参数'!$B$14*(20-1)),0)</f>
        <v/>
      </c>
      <c r="F6" s="6">
        <f>ROUND('全局参数'!$B$15*1.75*(1+'全局参数'!$B$14*(20-1)),0)</f>
        <v/>
      </c>
      <c r="G6">
        <f>ROUND('全局参数'!$B$15*1.75*1.5*(1+'全局参数'!$B$14*(20-1)),0)</f>
        <v/>
      </c>
    </row>
    <row r="7">
      <c r="A7" s="6" t="n">
        <v>30</v>
      </c>
      <c r="B7" s="6">
        <f>ROUND('全局参数'!$B$15*1.0*(1+'全局参数'!$B$14*(30-1)),0)</f>
        <v/>
      </c>
      <c r="C7" s="6">
        <f>ROUND('全局参数'!$B$15*1.15*(1+'全局参数'!$B$14*(30-1)),0)</f>
        <v/>
      </c>
      <c r="D7" s="6">
        <f>ROUND('全局参数'!$B$15*1.32*(1+'全局参数'!$B$14*(30-1)),0)</f>
        <v/>
      </c>
      <c r="E7" s="6">
        <f>ROUND('全局参数'!$B$15*1.52*(1+'全局参数'!$B$14*(30-1)),0)</f>
        <v/>
      </c>
      <c r="F7" s="6">
        <f>ROUND('全局参数'!$B$15*1.75*(1+'全局参数'!$B$14*(30-1)),0)</f>
        <v/>
      </c>
      <c r="G7">
        <f>ROUND('全局参数'!$B$15*1.75*1.5*(1+'全局参数'!$B$14*(30-1)),0)</f>
        <v/>
      </c>
    </row>
    <row r="8">
      <c r="A8" s="6" t="n">
        <v>40</v>
      </c>
      <c r="B8" s="6">
        <f>ROUND('全局参数'!$B$15*1.0*(1+'全局参数'!$B$14*(40-1)),0)</f>
        <v/>
      </c>
      <c r="C8" s="6">
        <f>ROUND('全局参数'!$B$15*1.15*(1+'全局参数'!$B$14*(40-1)),0)</f>
        <v/>
      </c>
      <c r="D8" s="6">
        <f>ROUND('全局参数'!$B$15*1.32*(1+'全局参数'!$B$14*(40-1)),0)</f>
        <v/>
      </c>
      <c r="E8" s="6">
        <f>ROUND('全局参数'!$B$15*1.52*(1+'全局参数'!$B$14*(40-1)),0)</f>
        <v/>
      </c>
      <c r="F8" s="6">
        <f>ROUND('全局参数'!$B$15*1.75*(1+'全局参数'!$B$14*(40-1)),0)</f>
        <v/>
      </c>
      <c r="G8">
        <f>ROUND('全局参数'!$B$15*1.75*1.5*(1+'全局参数'!$B$14*(40-1)),0)</f>
        <v/>
      </c>
    </row>
    <row r="9">
      <c r="A9" s="6" t="n">
        <v>50</v>
      </c>
      <c r="B9" s="6">
        <f>ROUND('全局参数'!$B$15*1.0*(1+'全局参数'!$B$14*(50-1)),0)</f>
        <v/>
      </c>
      <c r="C9" s="6">
        <f>ROUND('全局参数'!$B$15*1.15*(1+'全局参数'!$B$14*(50-1)),0)</f>
        <v/>
      </c>
      <c r="D9" s="6">
        <f>ROUND('全局参数'!$B$15*1.32*(1+'全局参数'!$B$14*(50-1)),0)</f>
        <v/>
      </c>
      <c r="E9" s="6">
        <f>ROUND('全局参数'!$B$15*1.52*(1+'全局参数'!$B$14*(50-1)),0)</f>
        <v/>
      </c>
      <c r="F9" s="6">
        <f>ROUND('全局参数'!$B$15*1.75*(1+'全局参数'!$B$14*(50-1)),0)</f>
        <v/>
      </c>
      <c r="G9">
        <f>ROUND('全局参数'!$B$15*1.75*1.5*(1+'全局参数'!$B$14*(50-1)),0)</f>
        <v/>
      </c>
    </row>
    <row r="10">
      <c r="A10" s="6" t="n">
        <v>60</v>
      </c>
      <c r="B10" s="6">
        <f>ROUND('全局参数'!$B$15*1.0*(1+'全局参数'!$B$14*(60-1)),0)</f>
        <v/>
      </c>
      <c r="C10" s="6">
        <f>ROUND('全局参数'!$B$15*1.15*(1+'全局参数'!$B$14*(60-1)),0)</f>
        <v/>
      </c>
      <c r="D10" s="6">
        <f>ROUND('全局参数'!$B$15*1.32*(1+'全局参数'!$B$14*(60-1)),0)</f>
        <v/>
      </c>
      <c r="E10" s="6">
        <f>ROUND('全局参数'!$B$15*1.52*(1+'全局参数'!$B$14*(60-1)),0)</f>
        <v/>
      </c>
      <c r="F10" s="6">
        <f>ROUND('全局参数'!$B$15*1.75*(1+'全局参数'!$B$14*(60-1)),0)</f>
        <v/>
      </c>
      <c r="G10">
        <f>ROUND('全局参数'!$B$15*1.75*1.5*(1+'全局参数'!$B$14*(60-1)),0)</f>
        <v/>
      </c>
    </row>
    <row r="12">
      <c r="A12" s="4" t="inlineStr">
        <is>
          <t>S(毕业) = 觉醒满 + 装备加成的毕业单发 ≈ S 基准 × 1.5，为设计预留的验证上限（待原型验证）。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击杀轮数平衡校验（团队每轮伤害 vs 三类目标）</t>
        </is>
      </c>
    </row>
    <row r="3">
      <c r="A3" s="7" t="inlineStr">
        <is>
          <t>团队每轮伤害（4 英雄各行动一次）</t>
        </is>
      </c>
      <c r="B3" s="3">
        <f>'行动验证表'!$I$4+'行动验证表'!$I$6+'行动验证表'!$I$10+'行动验证表'!$I$11</f>
        <v/>
      </c>
      <c r="C3" s="4" t="inlineStr">
        <is>
          <t>构成：标准输出 + 克制爆发 + 防御型 + 后期毕业（取自行动验证表）</t>
        </is>
      </c>
    </row>
    <row r="6">
      <c r="A6" s="8" t="inlineStr">
        <is>
          <t>小怪</t>
        </is>
      </c>
      <c r="B6" s="6" t="inlineStr">
        <is>
          <t>生命</t>
        </is>
      </c>
      <c r="C6" s="6">
        <f>'全局参数'!$B$9</f>
        <v/>
      </c>
      <c r="D6" s="6" t="inlineStr">
        <is>
          <t>实际击杀轮数</t>
        </is>
      </c>
      <c r="E6" s="8">
        <f>ROUND(C6/$B$3,1)</f>
        <v/>
      </c>
      <c r="F6" s="6" t="inlineStr">
        <is>
          <t>目标轮数</t>
        </is>
      </c>
      <c r="G6" s="6">
        <f>'全局参数'!$B$10</f>
        <v/>
      </c>
      <c r="H6" s="6">
        <f>IF(E6&lt;=G6,"✓ 节奏达标","⚠ 超目标 "&amp;ROUND(E6-G6,1)&amp;" 轮，需调生命或行动伤害")</f>
        <v/>
      </c>
    </row>
    <row r="7">
      <c r="A7" s="8" t="inlineStr">
        <is>
          <t>精英</t>
        </is>
      </c>
      <c r="B7" s="6" t="inlineStr">
        <is>
          <t>生命</t>
        </is>
      </c>
      <c r="C7" s="6">
        <f>'全局参数'!$B$10</f>
        <v/>
      </c>
      <c r="D7" s="6" t="inlineStr">
        <is>
          <t>实际击杀轮数</t>
        </is>
      </c>
      <c r="E7" s="8">
        <f>ROUND(C7/$B$3,1)</f>
        <v/>
      </c>
      <c r="F7" s="6" t="inlineStr">
        <is>
          <t>目标轮数</t>
        </is>
      </c>
      <c r="G7" s="6">
        <f>'全局参数'!$B$11</f>
        <v/>
      </c>
      <c r="H7" s="6">
        <f>IF(E7&lt;=G7,"✓ 节奏达标","⚠ 超目标 "&amp;ROUND(E7-G7,1)&amp;" 轮，需调生命或行动伤害")</f>
        <v/>
      </c>
    </row>
    <row r="8">
      <c r="A8" s="8" t="inlineStr">
        <is>
          <t>Boss</t>
        </is>
      </c>
      <c r="B8" s="6" t="inlineStr">
        <is>
          <t>生命</t>
        </is>
      </c>
      <c r="C8" s="6">
        <f>'全局参数'!$B$7</f>
        <v/>
      </c>
      <c r="D8" s="6" t="inlineStr">
        <is>
          <t>实际击杀轮数</t>
        </is>
      </c>
      <c r="E8" s="8">
        <f>ROUND(C8/$B$3,1)</f>
        <v/>
      </c>
      <c r="F8" s="6" t="inlineStr">
        <is>
          <t>目标轮数</t>
        </is>
      </c>
      <c r="G8" s="6">
        <f>'全局参数'!$B$12</f>
        <v/>
      </c>
      <c r="H8" s="6">
        <f>IF(E8&lt;=G8,"✓ 节奏达标","⚠ 超目标 "&amp;ROUND(E8-G8,1)&amp;" 轮，需调生命或行动伤害")</f>
        <v/>
      </c>
    </row>
    <row r="10">
      <c r="A10" s="4" t="inlineStr">
        <is>
          <t>判据：实际击杀轮数 ≤ 目标轮数 = 节奏达标。回合制平衡不是精确相等，而是落在目标区间。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内容</t>
        </is>
      </c>
    </row>
    <row r="2">
      <c r="A2" s="6" t="inlineStr">
        <is>
          <t>① 回合制口径：无 DPS / 无秒——度量为"单次行动期望伤害"与"击杀所需轮数"（轮 = 我方 4 英雄各行动一次）</t>
        </is>
      </c>
    </row>
    <row r="3">
      <c r="A3" s="6" t="inlineStr">
        <is>
          <t>② 行动验证表：8 组典型配置验证极端堆叠策略（堆攻/堆暴）的期望收益，乘算公式天然抑制单一堆叠</t>
        </is>
      </c>
    </row>
    <row r="4">
      <c r="A4" s="6" t="inlineStr">
        <is>
          <t>③ 行动伤害标准曲线与养成线品质系数同源（×1.15 链）——战斗产出与养成投入一一对应</t>
        </is>
      </c>
    </row>
    <row r="5">
      <c r="A5" s="6" t="inlineStr">
        <is>
          <t>④ 轮数平衡判据：小怪 2 轮 / 精英 5 轮 / Boss 10 轮，实际击杀轮数落在目标区间即节奏达标</t>
        </is>
      </c>
    </row>
    <row r="6">
      <c r="A6" s="6" t="inlineStr">
        <is>
          <t>⑤ 与作品①联动：行动伤害等级成长率（6%）刻意低于养成线（8%）——战斗力成长由养成供给，公式只做兑现</t>
        </is>
      </c>
    </row>
    <row r="7">
      <c r="A7" s="6" t="inlineStr">
        <is>
          <t>⑥ 跑条（速度）与 buff/debuff 属于小队层建模：见作品⑤《四人小队回合制模拟》（行动份额 ∝ 速度，buff 按回合覆盖折算）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2026-10-21T05:01:47Z</dcterms:created>
  <dcterms:modified xmlns:dcterms="http://purl.org/dc/terms/" xmlns:xsi="http://www.w3.org/2001/XMLSchema-instance" xsi:type="dcterms:W3CDTF">2026-10-21T05:01:47Z</dcterms:modified>
</cp:coreProperties>
</file>