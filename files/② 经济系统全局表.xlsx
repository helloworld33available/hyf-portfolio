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参数" sheetId="1" state="visible" r:id="rId1"/>
    <sheet xmlns:r="http://schemas.openxmlformats.org/officeDocument/2006/relationships" name="货币一览表" sheetId="2" state="visible" r:id="rId2"/>
    <sheet xmlns:r="http://schemas.openxmlformats.org/officeDocument/2006/relationships" name="90天收支模拟" sheetId="3" state="visible" r:id="rId3"/>
    <sheet xmlns:r="http://schemas.openxmlformats.org/officeDocument/2006/relationships" name="生态校验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9.5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A426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天空石余额曲线</a:t>
            </a:r>
          </a:p>
        </rich>
      </tx>
    </title>
    <plotArea>
      <lineChart>
        <grouping val="standard"/>
        <ser>
          <idx val="0"/>
          <order val="0"/>
          <tx>
            <strRef>
              <f>'90天收支模拟'!D3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'90天收支模拟'!$A$4:$A$93</f>
            </numRef>
          </cat>
          <val>
            <numRef>
              <f>'90天收支模拟'!$D$4:$D$93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天空石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金币余额曲线（净投放为正 → 通胀压力）</a:t>
            </a:r>
          </a:p>
        </rich>
      </tx>
    </title>
    <plotArea>
      <lineChart>
        <grouping val="standard"/>
        <ser>
          <idx val="0"/>
          <order val="0"/>
          <tx>
            <strRef>
              <f>'90天收支模拟'!G3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'90天收支模拟'!$A$4:$A$93</f>
            </numRef>
          </cat>
          <val>
            <numRef>
              <f>'90天收支模拟'!$G$4:$G$93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50" customWidth="1" min="3" max="3"/>
  </cols>
  <sheetData>
    <row r="1">
      <c r="A1" s="1" t="inlineStr">
        <is>
          <t>全局参数 —— 标准玩家画像（零充 / 轻微付费）：收支模型的唯一参数源</t>
        </is>
      </c>
    </row>
    <row r="3">
      <c r="A3" s="2" t="inlineStr">
        <is>
          <t>模拟天数</t>
        </is>
      </c>
      <c r="B3" s="3" t="n">
        <v>90</v>
      </c>
      <c r="C3" s="4" t="inlineStr">
        <is>
          <t>生态模拟周期</t>
        </is>
      </c>
    </row>
    <row r="4">
      <c r="A4" s="2" t="inlineStr">
        <is>
          <t>天空石日收入</t>
        </is>
      </c>
      <c r="B4" s="3" t="n">
        <v>195</v>
      </c>
      <c r="C4" s="4" t="inlineStr">
        <is>
          <t>日常任务100 + 成就50 + 周任务摊销45</t>
        </is>
      </c>
    </row>
    <row r="5">
      <c r="A5" s="2" t="inlineStr">
        <is>
          <t>十连抽成本（天空石）</t>
        </is>
      </c>
      <c r="B5" s="3" t="n">
        <v>9500</v>
      </c>
      <c r="C5" s="4" t="inlineStr">
        <is>
          <t>950 × 10；玩家每 30 天执行一次十连</t>
        </is>
      </c>
    </row>
    <row r="6">
      <c r="A6" s="2" t="inlineStr">
        <is>
          <t>十连周期（天）</t>
        </is>
      </c>
      <c r="B6" s="3" t="n">
        <v>30</v>
      </c>
      <c r="C6" s="4" t="inlineStr">
        <is>
          <t>MOD(天数,周期)=0 时执行十连</t>
        </is>
      </c>
    </row>
    <row r="7">
      <c r="A7" s="2" t="inlineStr">
        <is>
          <t>天空石其他支出（日均）</t>
        </is>
      </c>
      <c r="B7" s="3" t="n">
        <v>22</v>
      </c>
      <c r="C7" s="4" t="inlineStr">
        <is>
          <t>商店刷新 / 体力购买折算</t>
        </is>
      </c>
    </row>
    <row r="8">
      <c r="A8" s="2" t="inlineStr">
        <is>
          <t>金币日收入</t>
        </is>
      </c>
      <c r="B8" s="3" t="n">
        <v>400000</v>
      </c>
      <c r="C8" s="4" t="inlineStr">
        <is>
          <t>副本 / 出售装备 / 任务</t>
        </is>
      </c>
    </row>
    <row r="9">
      <c r="A9" s="2" t="inlineStr">
        <is>
          <t>金币日支出（养成摊销）</t>
        </is>
      </c>
      <c r="B9" s="3" t="n">
        <v>70000</v>
      </c>
      <c r="C9" s="4" t="inlineStr">
        <is>
          <t>强化+升星+觉醒金币按 90 天养成计划摊销</t>
        </is>
      </c>
    </row>
    <row r="10">
      <c r="A10" s="2" t="inlineStr">
        <is>
          <t>金币日支出（商店杂项）</t>
        </is>
      </c>
      <c r="B10" s="3" t="n">
        <v>20000</v>
      </c>
      <c r="C10" s="4" t="inlineStr">
        <is>
          <t>限时商店 / 猫窝购买</t>
        </is>
      </c>
    </row>
    <row r="11">
      <c r="A11" s="2" t="inlineStr">
        <is>
          <t>体力日收入</t>
        </is>
      </c>
      <c r="B11" s="3" t="n">
        <v>900</v>
      </c>
      <c r="C11" s="4" t="inlineStr">
        <is>
          <t>自然恢复720 + 日常领取180</t>
        </is>
      </c>
    </row>
    <row r="12">
      <c r="A12" s="2" t="inlineStr">
        <is>
          <t>体力日支出</t>
        </is>
      </c>
      <c r="B12" s="3" t="n">
        <v>850</v>
      </c>
      <c r="C12" s="4" t="inlineStr">
        <is>
          <t>刷图消耗——紧平衡设计：体力是日活闸门</t>
        </is>
      </c>
    </row>
    <row r="13">
      <c r="A13" s="2" t="inlineStr">
        <is>
          <t>荣誉日收入</t>
        </is>
      </c>
      <c r="B13" s="3" t="n">
        <v>300</v>
      </c>
      <c r="C13" s="4" t="inlineStr">
        <is>
          <t>竞技场结算 + 每日场次</t>
        </is>
      </c>
    </row>
    <row r="14">
      <c r="A14" s="2" t="inlineStr">
        <is>
          <t>荣誉日支出</t>
        </is>
      </c>
      <c r="B14" s="3" t="n">
        <v>250</v>
      </c>
      <c r="C14" s="4" t="inlineStr">
        <is>
          <t>荣誉商店兑换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34" customWidth="1" min="4" max="4"/>
  </cols>
  <sheetData>
    <row r="1">
      <c r="A1" s="1" t="inlineStr">
        <is>
          <t>货币一览表（四类货币四种控速逻辑：天空石克制 / 金币通胀待回收 / 体力紧平衡 / 专用币定向）</t>
        </is>
      </c>
    </row>
    <row r="3">
      <c r="A3" s="5" t="inlineStr">
        <is>
          <t>货币</t>
        </is>
      </c>
      <c r="B3" s="5" t="inlineStr">
        <is>
          <t>类型</t>
        </is>
      </c>
      <c r="C3" s="5" t="inlineStr">
        <is>
          <t>主要获取</t>
        </is>
      </c>
      <c r="D3" s="5" t="inlineStr">
        <is>
          <t>主要消耗</t>
        </is>
      </c>
    </row>
    <row r="4">
      <c r="A4" s="6" t="inlineStr">
        <is>
          <t>天空石</t>
        </is>
      </c>
      <c r="B4" s="6" t="inlineStr">
        <is>
          <t>硬通货</t>
        </is>
      </c>
      <c r="C4" s="6" t="inlineStr">
        <is>
          <t>日常任务 / 成就 / 周任务 / 活动</t>
        </is>
      </c>
      <c r="D4" s="6" t="inlineStr">
        <is>
          <t>召唤（950/次） / 体力购买 / 商店刷新</t>
        </is>
      </c>
    </row>
    <row r="5">
      <c r="A5" s="6" t="inlineStr">
        <is>
          <t>金币</t>
        </is>
      </c>
      <c r="B5" s="6" t="inlineStr">
        <is>
          <t>软通货</t>
        </is>
      </c>
      <c r="C5" s="6" t="inlineStr">
        <is>
          <t>副本 / 出售装备 / 任务 / 活动</t>
        </is>
      </c>
      <c r="D5" s="6" t="inlineStr">
        <is>
          <t>装备强化 / 升星 / 觉醒符文 / 商店</t>
        </is>
      </c>
    </row>
    <row r="6">
      <c r="A6" s="6" t="inlineStr">
        <is>
          <t>体力</t>
        </is>
      </c>
      <c r="B6" s="6" t="inlineStr">
        <is>
          <t>行动力</t>
        </is>
      </c>
      <c r="C6" s="6" t="inlineStr">
        <is>
          <t>自然恢复 / 每日领取 / 天空石购买</t>
        </is>
      </c>
      <c r="D6" s="6" t="inlineStr">
        <is>
          <t>刷图（企鹅 / 符文 / 催化剂来源）</t>
        </is>
      </c>
    </row>
    <row r="7">
      <c r="A7" s="6" t="inlineStr">
        <is>
          <t>荣誉</t>
        </is>
      </c>
      <c r="B7" s="6" t="inlineStr">
        <is>
          <t>专用币</t>
        </is>
      </c>
      <c r="C7" s="6" t="inlineStr">
        <is>
          <t>竞技场场次与结算</t>
        </is>
      </c>
      <c r="D7" s="6" t="inlineStr">
        <is>
          <t>荣誉商店（装备 / 催化剂）</t>
        </is>
      </c>
    </row>
    <row r="8">
      <c r="A8" s="6" t="inlineStr">
        <is>
          <t>联盟币</t>
        </is>
      </c>
      <c r="B8" s="6" t="inlineStr">
        <is>
          <t>专用币</t>
        </is>
      </c>
      <c r="C8" s="6" t="inlineStr">
        <is>
          <t>联盟商战 / 捐献</t>
        </is>
      </c>
      <c r="D8" s="6" t="inlineStr">
        <is>
          <t>联盟商店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>
      <c r="A1" s="1" t="inlineStr">
        <is>
          <t>90 天收支模拟（标准玩家：日收入恒定 + 周期性大额支出，余额公式逐日累计）</t>
        </is>
      </c>
    </row>
    <row r="3">
      <c r="A3" s="5" t="inlineStr">
        <is>
          <t>天数</t>
        </is>
      </c>
      <c r="B3" s="5" t="inlineStr">
        <is>
          <t>天空石收入</t>
        </is>
      </c>
      <c r="C3" s="5" t="inlineStr">
        <is>
          <t>天空石支出</t>
        </is>
      </c>
      <c r="D3" s="5" t="inlineStr">
        <is>
          <t>天空石余额</t>
        </is>
      </c>
      <c r="E3" s="5" t="inlineStr">
        <is>
          <t>金币收入</t>
        </is>
      </c>
      <c r="F3" s="5" t="inlineStr">
        <is>
          <t>金币支出</t>
        </is>
      </c>
      <c r="G3" s="5" t="inlineStr">
        <is>
          <t>金币余额</t>
        </is>
      </c>
      <c r="H3" s="5" t="inlineStr">
        <is>
          <t>体力余额</t>
        </is>
      </c>
      <c r="I3" s="5" t="inlineStr">
        <is>
          <t>荣誉余额</t>
        </is>
      </c>
    </row>
    <row r="4">
      <c r="A4" s="6" t="n">
        <v>1</v>
      </c>
      <c r="B4" s="6">
        <f>'全局参数'!$B$4</f>
        <v/>
      </c>
      <c r="C4" s="6">
        <f>IF(MOD(A4,'全局参数'!$B$6)=0,'全局参数'!$B$5,0)+'全局参数'!$B$7</f>
        <v/>
      </c>
      <c r="D4" s="6">
        <f>'全局参数'!$B$4-(IF(MOD(A4,'全局参数'!$B$6)=0,'全局参数'!$B$5,0)+'全局参数'!$B$7)</f>
        <v/>
      </c>
      <c r="E4" s="6">
        <f>'全局参数'!$B$8</f>
        <v/>
      </c>
      <c r="F4" s="6">
        <f>'全局参数'!$B$9+'全局参数'!$B$10</f>
        <v/>
      </c>
      <c r="G4" s="6">
        <f>'全局参数'!$B$8-('全局参数'!$B$9+'全局参数'!$B$10)</f>
        <v/>
      </c>
      <c r="H4" s="6">
        <f>'全局参数'!$B$11-'全局参数'!$B$12</f>
        <v/>
      </c>
      <c r="I4" s="6">
        <f>'全局参数'!$B$13-'全局参数'!$B$14</f>
        <v/>
      </c>
    </row>
    <row r="5">
      <c r="A5" s="6" t="n">
        <v>2</v>
      </c>
      <c r="B5" s="6">
        <f>'全局参数'!$B$4</f>
        <v/>
      </c>
      <c r="C5" s="6">
        <f>IF(MOD(A5,'全局参数'!$B$6)=0,'全局参数'!$B$5,0)+'全局参数'!$B$7</f>
        <v/>
      </c>
      <c r="D5" s="6">
        <f>D4+B5-C5</f>
        <v/>
      </c>
      <c r="E5" s="6">
        <f>'全局参数'!$B$8</f>
        <v/>
      </c>
      <c r="F5" s="6">
        <f>'全局参数'!$B$9+'全局参数'!$B$10</f>
        <v/>
      </c>
      <c r="G5" s="6">
        <f>G4+E5-F5</f>
        <v/>
      </c>
      <c r="H5" s="6" t="inlineStr">
        <is>
          <t>H4+('全局参数'!$B$11-'全局参数'!$B$12)</t>
        </is>
      </c>
      <c r="I5" s="6" t="inlineStr">
        <is>
          <t>I4+('全局参数'!$B$13-'全局参数'!$B$14)</t>
        </is>
      </c>
    </row>
    <row r="6">
      <c r="A6" s="6" t="n">
        <v>3</v>
      </c>
      <c r="B6" s="6">
        <f>'全局参数'!$B$4</f>
        <v/>
      </c>
      <c r="C6" s="6">
        <f>IF(MOD(A6,'全局参数'!$B$6)=0,'全局参数'!$B$5,0)+'全局参数'!$B$7</f>
        <v/>
      </c>
      <c r="D6" s="6">
        <f>D5+B6-C6</f>
        <v/>
      </c>
      <c r="E6" s="6">
        <f>'全局参数'!$B$8</f>
        <v/>
      </c>
      <c r="F6" s="6">
        <f>'全局参数'!$B$9+'全局参数'!$B$10</f>
        <v/>
      </c>
      <c r="G6" s="6">
        <f>G5+E6-F6</f>
        <v/>
      </c>
      <c r="H6" s="6" t="inlineStr">
        <is>
          <t>H5+('全局参数'!$B$11-'全局参数'!$B$12)</t>
        </is>
      </c>
      <c r="I6" s="6" t="inlineStr">
        <is>
          <t>I5+('全局参数'!$B$13-'全局参数'!$B$14)</t>
        </is>
      </c>
    </row>
    <row r="7">
      <c r="A7" s="6" t="n">
        <v>4</v>
      </c>
      <c r="B7" s="6">
        <f>'全局参数'!$B$4</f>
        <v/>
      </c>
      <c r="C7" s="6">
        <f>IF(MOD(A7,'全局参数'!$B$6)=0,'全局参数'!$B$5,0)+'全局参数'!$B$7</f>
        <v/>
      </c>
      <c r="D7" s="6">
        <f>D6+B7-C7</f>
        <v/>
      </c>
      <c r="E7" s="6">
        <f>'全局参数'!$B$8</f>
        <v/>
      </c>
      <c r="F7" s="6">
        <f>'全局参数'!$B$9+'全局参数'!$B$10</f>
        <v/>
      </c>
      <c r="G7" s="6">
        <f>G6+E7-F7</f>
        <v/>
      </c>
      <c r="H7" s="6" t="inlineStr">
        <is>
          <t>H6+('全局参数'!$B$11-'全局参数'!$B$12)</t>
        </is>
      </c>
      <c r="I7" s="6" t="inlineStr">
        <is>
          <t>I6+('全局参数'!$B$13-'全局参数'!$B$14)</t>
        </is>
      </c>
    </row>
    <row r="8">
      <c r="A8" s="6" t="n">
        <v>5</v>
      </c>
      <c r="B8" s="6">
        <f>'全局参数'!$B$4</f>
        <v/>
      </c>
      <c r="C8" s="6">
        <f>IF(MOD(A8,'全局参数'!$B$6)=0,'全局参数'!$B$5,0)+'全局参数'!$B$7</f>
        <v/>
      </c>
      <c r="D8" s="6">
        <f>D7+B8-C8</f>
        <v/>
      </c>
      <c r="E8" s="6">
        <f>'全局参数'!$B$8</f>
        <v/>
      </c>
      <c r="F8" s="6">
        <f>'全局参数'!$B$9+'全局参数'!$B$10</f>
        <v/>
      </c>
      <c r="G8" s="6">
        <f>G7+E8-F8</f>
        <v/>
      </c>
      <c r="H8" s="6" t="inlineStr">
        <is>
          <t>H7+('全局参数'!$B$11-'全局参数'!$B$12)</t>
        </is>
      </c>
      <c r="I8" s="6" t="inlineStr">
        <is>
          <t>I7+('全局参数'!$B$13-'全局参数'!$B$14)</t>
        </is>
      </c>
    </row>
    <row r="9">
      <c r="A9" s="6" t="n">
        <v>6</v>
      </c>
      <c r="B9" s="6">
        <f>'全局参数'!$B$4</f>
        <v/>
      </c>
      <c r="C9" s="6">
        <f>IF(MOD(A9,'全局参数'!$B$6)=0,'全局参数'!$B$5,0)+'全局参数'!$B$7</f>
        <v/>
      </c>
      <c r="D9" s="6">
        <f>D8+B9-C9</f>
        <v/>
      </c>
      <c r="E9" s="6">
        <f>'全局参数'!$B$8</f>
        <v/>
      </c>
      <c r="F9" s="6">
        <f>'全局参数'!$B$9+'全局参数'!$B$10</f>
        <v/>
      </c>
      <c r="G9" s="6">
        <f>G8+E9-F9</f>
        <v/>
      </c>
      <c r="H9" s="6" t="inlineStr">
        <is>
          <t>H8+('全局参数'!$B$11-'全局参数'!$B$12)</t>
        </is>
      </c>
      <c r="I9" s="6" t="inlineStr">
        <is>
          <t>I8+('全局参数'!$B$13-'全局参数'!$B$14)</t>
        </is>
      </c>
    </row>
    <row r="10">
      <c r="A10" s="6" t="n">
        <v>7</v>
      </c>
      <c r="B10" s="6">
        <f>'全局参数'!$B$4</f>
        <v/>
      </c>
      <c r="C10" s="6">
        <f>IF(MOD(A10,'全局参数'!$B$6)=0,'全局参数'!$B$5,0)+'全局参数'!$B$7</f>
        <v/>
      </c>
      <c r="D10" s="6">
        <f>D9+B10-C10</f>
        <v/>
      </c>
      <c r="E10" s="6">
        <f>'全局参数'!$B$8</f>
        <v/>
      </c>
      <c r="F10" s="6">
        <f>'全局参数'!$B$9+'全局参数'!$B$10</f>
        <v/>
      </c>
      <c r="G10" s="6">
        <f>G9+E10-F10</f>
        <v/>
      </c>
      <c r="H10" s="6" t="inlineStr">
        <is>
          <t>H9+('全局参数'!$B$11-'全局参数'!$B$12)</t>
        </is>
      </c>
      <c r="I10" s="6" t="inlineStr">
        <is>
          <t>I9+('全局参数'!$B$13-'全局参数'!$B$14)</t>
        </is>
      </c>
    </row>
    <row r="11">
      <c r="A11" s="6" t="n">
        <v>8</v>
      </c>
      <c r="B11" s="6">
        <f>'全局参数'!$B$4</f>
        <v/>
      </c>
      <c r="C11" s="6">
        <f>IF(MOD(A11,'全局参数'!$B$6)=0,'全局参数'!$B$5,0)+'全局参数'!$B$7</f>
        <v/>
      </c>
      <c r="D11" s="6">
        <f>D10+B11-C11</f>
        <v/>
      </c>
      <c r="E11" s="6">
        <f>'全局参数'!$B$8</f>
        <v/>
      </c>
      <c r="F11" s="6">
        <f>'全局参数'!$B$9+'全局参数'!$B$10</f>
        <v/>
      </c>
      <c r="G11" s="6">
        <f>G10+E11-F11</f>
        <v/>
      </c>
      <c r="H11" s="6" t="inlineStr">
        <is>
          <t>H10+('全局参数'!$B$11-'全局参数'!$B$12)</t>
        </is>
      </c>
      <c r="I11" s="6" t="inlineStr">
        <is>
          <t>I10+('全局参数'!$B$13-'全局参数'!$B$14)</t>
        </is>
      </c>
    </row>
    <row r="12">
      <c r="A12" s="6" t="n">
        <v>9</v>
      </c>
      <c r="B12" s="6">
        <f>'全局参数'!$B$4</f>
        <v/>
      </c>
      <c r="C12" s="6">
        <f>IF(MOD(A12,'全局参数'!$B$6)=0,'全局参数'!$B$5,0)+'全局参数'!$B$7</f>
        <v/>
      </c>
      <c r="D12" s="6">
        <f>D11+B12-C12</f>
        <v/>
      </c>
      <c r="E12" s="6">
        <f>'全局参数'!$B$8</f>
        <v/>
      </c>
      <c r="F12" s="6">
        <f>'全局参数'!$B$9+'全局参数'!$B$10</f>
        <v/>
      </c>
      <c r="G12" s="6">
        <f>G11+E12-F12</f>
        <v/>
      </c>
      <c r="H12" s="6" t="inlineStr">
        <is>
          <t>H11+('全局参数'!$B$11-'全局参数'!$B$12)</t>
        </is>
      </c>
      <c r="I12" s="6" t="inlineStr">
        <is>
          <t>I11+('全局参数'!$B$13-'全局参数'!$B$14)</t>
        </is>
      </c>
    </row>
    <row r="13">
      <c r="A13" s="6" t="n">
        <v>10</v>
      </c>
      <c r="B13" s="6">
        <f>'全局参数'!$B$4</f>
        <v/>
      </c>
      <c r="C13" s="6">
        <f>IF(MOD(A13,'全局参数'!$B$6)=0,'全局参数'!$B$5,0)+'全局参数'!$B$7</f>
        <v/>
      </c>
      <c r="D13" s="6">
        <f>D12+B13-C13</f>
        <v/>
      </c>
      <c r="E13" s="6">
        <f>'全局参数'!$B$8</f>
        <v/>
      </c>
      <c r="F13" s="6">
        <f>'全局参数'!$B$9+'全局参数'!$B$10</f>
        <v/>
      </c>
      <c r="G13" s="6">
        <f>G12+E13-F13</f>
        <v/>
      </c>
      <c r="H13" s="6" t="inlineStr">
        <is>
          <t>H12+('全局参数'!$B$11-'全局参数'!$B$12)</t>
        </is>
      </c>
      <c r="I13" s="6" t="inlineStr">
        <is>
          <t>I12+('全局参数'!$B$13-'全局参数'!$B$14)</t>
        </is>
      </c>
    </row>
    <row r="14">
      <c r="A14" s="6" t="n">
        <v>11</v>
      </c>
      <c r="B14" s="6">
        <f>'全局参数'!$B$4</f>
        <v/>
      </c>
      <c r="C14" s="6">
        <f>IF(MOD(A14,'全局参数'!$B$6)=0,'全局参数'!$B$5,0)+'全局参数'!$B$7</f>
        <v/>
      </c>
      <c r="D14" s="6">
        <f>D13+B14-C14</f>
        <v/>
      </c>
      <c r="E14" s="6">
        <f>'全局参数'!$B$8</f>
        <v/>
      </c>
      <c r="F14" s="6">
        <f>'全局参数'!$B$9+'全局参数'!$B$10</f>
        <v/>
      </c>
      <c r="G14" s="6">
        <f>G13+E14-F14</f>
        <v/>
      </c>
      <c r="H14" s="6" t="inlineStr">
        <is>
          <t>H13+('全局参数'!$B$11-'全局参数'!$B$12)</t>
        </is>
      </c>
      <c r="I14" s="6" t="inlineStr">
        <is>
          <t>I13+('全局参数'!$B$13-'全局参数'!$B$14)</t>
        </is>
      </c>
    </row>
    <row r="15">
      <c r="A15" s="6" t="n">
        <v>12</v>
      </c>
      <c r="B15" s="6">
        <f>'全局参数'!$B$4</f>
        <v/>
      </c>
      <c r="C15" s="6">
        <f>IF(MOD(A15,'全局参数'!$B$6)=0,'全局参数'!$B$5,0)+'全局参数'!$B$7</f>
        <v/>
      </c>
      <c r="D15" s="6">
        <f>D14+B15-C15</f>
        <v/>
      </c>
      <c r="E15" s="6">
        <f>'全局参数'!$B$8</f>
        <v/>
      </c>
      <c r="F15" s="6">
        <f>'全局参数'!$B$9+'全局参数'!$B$10</f>
        <v/>
      </c>
      <c r="G15" s="6">
        <f>G14+E15-F15</f>
        <v/>
      </c>
      <c r="H15" s="6" t="inlineStr">
        <is>
          <t>H14+('全局参数'!$B$11-'全局参数'!$B$12)</t>
        </is>
      </c>
      <c r="I15" s="6" t="inlineStr">
        <is>
          <t>I14+('全局参数'!$B$13-'全局参数'!$B$14)</t>
        </is>
      </c>
    </row>
    <row r="16">
      <c r="A16" s="6" t="n">
        <v>13</v>
      </c>
      <c r="B16" s="6">
        <f>'全局参数'!$B$4</f>
        <v/>
      </c>
      <c r="C16" s="6">
        <f>IF(MOD(A16,'全局参数'!$B$6)=0,'全局参数'!$B$5,0)+'全局参数'!$B$7</f>
        <v/>
      </c>
      <c r="D16" s="6">
        <f>D15+B16-C16</f>
        <v/>
      </c>
      <c r="E16" s="6">
        <f>'全局参数'!$B$8</f>
        <v/>
      </c>
      <c r="F16" s="6">
        <f>'全局参数'!$B$9+'全局参数'!$B$10</f>
        <v/>
      </c>
      <c r="G16" s="6">
        <f>G15+E16-F16</f>
        <v/>
      </c>
      <c r="H16" s="6" t="inlineStr">
        <is>
          <t>H15+('全局参数'!$B$11-'全局参数'!$B$12)</t>
        </is>
      </c>
      <c r="I16" s="6" t="inlineStr">
        <is>
          <t>I15+('全局参数'!$B$13-'全局参数'!$B$14)</t>
        </is>
      </c>
    </row>
    <row r="17">
      <c r="A17" s="6" t="n">
        <v>14</v>
      </c>
      <c r="B17" s="6">
        <f>'全局参数'!$B$4</f>
        <v/>
      </c>
      <c r="C17" s="6">
        <f>IF(MOD(A17,'全局参数'!$B$6)=0,'全局参数'!$B$5,0)+'全局参数'!$B$7</f>
        <v/>
      </c>
      <c r="D17" s="6">
        <f>D16+B17-C17</f>
        <v/>
      </c>
      <c r="E17" s="6">
        <f>'全局参数'!$B$8</f>
        <v/>
      </c>
      <c r="F17" s="6">
        <f>'全局参数'!$B$9+'全局参数'!$B$10</f>
        <v/>
      </c>
      <c r="G17" s="6">
        <f>G16+E17-F17</f>
        <v/>
      </c>
      <c r="H17" s="6" t="inlineStr">
        <is>
          <t>H16+('全局参数'!$B$11-'全局参数'!$B$12)</t>
        </is>
      </c>
      <c r="I17" s="6" t="inlineStr">
        <is>
          <t>I16+('全局参数'!$B$13-'全局参数'!$B$14)</t>
        </is>
      </c>
    </row>
    <row r="18">
      <c r="A18" s="6" t="n">
        <v>15</v>
      </c>
      <c r="B18" s="6">
        <f>'全局参数'!$B$4</f>
        <v/>
      </c>
      <c r="C18" s="6">
        <f>IF(MOD(A18,'全局参数'!$B$6)=0,'全局参数'!$B$5,0)+'全局参数'!$B$7</f>
        <v/>
      </c>
      <c r="D18" s="6">
        <f>D17+B18-C18</f>
        <v/>
      </c>
      <c r="E18" s="6">
        <f>'全局参数'!$B$8</f>
        <v/>
      </c>
      <c r="F18" s="6">
        <f>'全局参数'!$B$9+'全局参数'!$B$10</f>
        <v/>
      </c>
      <c r="G18" s="6">
        <f>G17+E18-F18</f>
        <v/>
      </c>
      <c r="H18" s="6" t="inlineStr">
        <is>
          <t>H17+('全局参数'!$B$11-'全局参数'!$B$12)</t>
        </is>
      </c>
      <c r="I18" s="6" t="inlineStr">
        <is>
          <t>I17+('全局参数'!$B$13-'全局参数'!$B$14)</t>
        </is>
      </c>
    </row>
    <row r="19">
      <c r="A19" s="6" t="n">
        <v>16</v>
      </c>
      <c r="B19" s="6">
        <f>'全局参数'!$B$4</f>
        <v/>
      </c>
      <c r="C19" s="6">
        <f>IF(MOD(A19,'全局参数'!$B$6)=0,'全局参数'!$B$5,0)+'全局参数'!$B$7</f>
        <v/>
      </c>
      <c r="D19" s="6">
        <f>D18+B19-C19</f>
        <v/>
      </c>
      <c r="E19" s="6">
        <f>'全局参数'!$B$8</f>
        <v/>
      </c>
      <c r="F19" s="6">
        <f>'全局参数'!$B$9+'全局参数'!$B$10</f>
        <v/>
      </c>
      <c r="G19" s="6">
        <f>G18+E19-F19</f>
        <v/>
      </c>
      <c r="H19" s="6" t="inlineStr">
        <is>
          <t>H18+('全局参数'!$B$11-'全局参数'!$B$12)</t>
        </is>
      </c>
      <c r="I19" s="6" t="inlineStr">
        <is>
          <t>I18+('全局参数'!$B$13-'全局参数'!$B$14)</t>
        </is>
      </c>
    </row>
    <row r="20">
      <c r="A20" s="6" t="n">
        <v>17</v>
      </c>
      <c r="B20" s="6">
        <f>'全局参数'!$B$4</f>
        <v/>
      </c>
      <c r="C20" s="6">
        <f>IF(MOD(A20,'全局参数'!$B$6)=0,'全局参数'!$B$5,0)+'全局参数'!$B$7</f>
        <v/>
      </c>
      <c r="D20" s="6">
        <f>D19+B20-C20</f>
        <v/>
      </c>
      <c r="E20" s="6">
        <f>'全局参数'!$B$8</f>
        <v/>
      </c>
      <c r="F20" s="6">
        <f>'全局参数'!$B$9+'全局参数'!$B$10</f>
        <v/>
      </c>
      <c r="G20" s="6">
        <f>G19+E20-F20</f>
        <v/>
      </c>
      <c r="H20" s="6" t="inlineStr">
        <is>
          <t>H19+('全局参数'!$B$11-'全局参数'!$B$12)</t>
        </is>
      </c>
      <c r="I20" s="6" t="inlineStr">
        <is>
          <t>I19+('全局参数'!$B$13-'全局参数'!$B$14)</t>
        </is>
      </c>
    </row>
    <row r="21">
      <c r="A21" s="6" t="n">
        <v>18</v>
      </c>
      <c r="B21" s="6">
        <f>'全局参数'!$B$4</f>
        <v/>
      </c>
      <c r="C21" s="6">
        <f>IF(MOD(A21,'全局参数'!$B$6)=0,'全局参数'!$B$5,0)+'全局参数'!$B$7</f>
        <v/>
      </c>
      <c r="D21" s="6">
        <f>D20+B21-C21</f>
        <v/>
      </c>
      <c r="E21" s="6">
        <f>'全局参数'!$B$8</f>
        <v/>
      </c>
      <c r="F21" s="6">
        <f>'全局参数'!$B$9+'全局参数'!$B$10</f>
        <v/>
      </c>
      <c r="G21" s="6">
        <f>G20+E21-F21</f>
        <v/>
      </c>
      <c r="H21" s="6" t="inlineStr">
        <is>
          <t>H20+('全局参数'!$B$11-'全局参数'!$B$12)</t>
        </is>
      </c>
      <c r="I21" s="6" t="inlineStr">
        <is>
          <t>I20+('全局参数'!$B$13-'全局参数'!$B$14)</t>
        </is>
      </c>
    </row>
    <row r="22">
      <c r="A22" s="6" t="n">
        <v>19</v>
      </c>
      <c r="B22" s="6">
        <f>'全局参数'!$B$4</f>
        <v/>
      </c>
      <c r="C22" s="6">
        <f>IF(MOD(A22,'全局参数'!$B$6)=0,'全局参数'!$B$5,0)+'全局参数'!$B$7</f>
        <v/>
      </c>
      <c r="D22" s="6">
        <f>D21+B22-C22</f>
        <v/>
      </c>
      <c r="E22" s="6">
        <f>'全局参数'!$B$8</f>
        <v/>
      </c>
      <c r="F22" s="6">
        <f>'全局参数'!$B$9+'全局参数'!$B$10</f>
        <v/>
      </c>
      <c r="G22" s="6">
        <f>G21+E22-F22</f>
        <v/>
      </c>
      <c r="H22" s="6" t="inlineStr">
        <is>
          <t>H21+('全局参数'!$B$11-'全局参数'!$B$12)</t>
        </is>
      </c>
      <c r="I22" s="6" t="inlineStr">
        <is>
          <t>I21+('全局参数'!$B$13-'全局参数'!$B$14)</t>
        </is>
      </c>
    </row>
    <row r="23">
      <c r="A23" s="6" t="n">
        <v>20</v>
      </c>
      <c r="B23" s="6">
        <f>'全局参数'!$B$4</f>
        <v/>
      </c>
      <c r="C23" s="6">
        <f>IF(MOD(A23,'全局参数'!$B$6)=0,'全局参数'!$B$5,0)+'全局参数'!$B$7</f>
        <v/>
      </c>
      <c r="D23" s="6">
        <f>D22+B23-C23</f>
        <v/>
      </c>
      <c r="E23" s="6">
        <f>'全局参数'!$B$8</f>
        <v/>
      </c>
      <c r="F23" s="6">
        <f>'全局参数'!$B$9+'全局参数'!$B$10</f>
        <v/>
      </c>
      <c r="G23" s="6">
        <f>G22+E23-F23</f>
        <v/>
      </c>
      <c r="H23" s="6" t="inlineStr">
        <is>
          <t>H22+('全局参数'!$B$11-'全局参数'!$B$12)</t>
        </is>
      </c>
      <c r="I23" s="6" t="inlineStr">
        <is>
          <t>I22+('全局参数'!$B$13-'全局参数'!$B$14)</t>
        </is>
      </c>
    </row>
    <row r="24">
      <c r="A24" s="6" t="n">
        <v>21</v>
      </c>
      <c r="B24" s="6">
        <f>'全局参数'!$B$4</f>
        <v/>
      </c>
      <c r="C24" s="6">
        <f>IF(MOD(A24,'全局参数'!$B$6)=0,'全局参数'!$B$5,0)+'全局参数'!$B$7</f>
        <v/>
      </c>
      <c r="D24" s="6">
        <f>D23+B24-C24</f>
        <v/>
      </c>
      <c r="E24" s="6">
        <f>'全局参数'!$B$8</f>
        <v/>
      </c>
      <c r="F24" s="6">
        <f>'全局参数'!$B$9+'全局参数'!$B$10</f>
        <v/>
      </c>
      <c r="G24" s="6">
        <f>G23+E24-F24</f>
        <v/>
      </c>
      <c r="H24" s="6" t="inlineStr">
        <is>
          <t>H23+('全局参数'!$B$11-'全局参数'!$B$12)</t>
        </is>
      </c>
      <c r="I24" s="6" t="inlineStr">
        <is>
          <t>I23+('全局参数'!$B$13-'全局参数'!$B$14)</t>
        </is>
      </c>
    </row>
    <row r="25">
      <c r="A25" s="6" t="n">
        <v>22</v>
      </c>
      <c r="B25" s="6">
        <f>'全局参数'!$B$4</f>
        <v/>
      </c>
      <c r="C25" s="6">
        <f>IF(MOD(A25,'全局参数'!$B$6)=0,'全局参数'!$B$5,0)+'全局参数'!$B$7</f>
        <v/>
      </c>
      <c r="D25" s="6">
        <f>D24+B25-C25</f>
        <v/>
      </c>
      <c r="E25" s="6">
        <f>'全局参数'!$B$8</f>
        <v/>
      </c>
      <c r="F25" s="6">
        <f>'全局参数'!$B$9+'全局参数'!$B$10</f>
        <v/>
      </c>
      <c r="G25" s="6">
        <f>G24+E25-F25</f>
        <v/>
      </c>
      <c r="H25" s="6" t="inlineStr">
        <is>
          <t>H24+('全局参数'!$B$11-'全局参数'!$B$12)</t>
        </is>
      </c>
      <c r="I25" s="6" t="inlineStr">
        <is>
          <t>I24+('全局参数'!$B$13-'全局参数'!$B$14)</t>
        </is>
      </c>
    </row>
    <row r="26">
      <c r="A26" s="6" t="n">
        <v>23</v>
      </c>
      <c r="B26" s="6">
        <f>'全局参数'!$B$4</f>
        <v/>
      </c>
      <c r="C26" s="6">
        <f>IF(MOD(A26,'全局参数'!$B$6)=0,'全局参数'!$B$5,0)+'全局参数'!$B$7</f>
        <v/>
      </c>
      <c r="D26" s="6">
        <f>D25+B26-C26</f>
        <v/>
      </c>
      <c r="E26" s="6">
        <f>'全局参数'!$B$8</f>
        <v/>
      </c>
      <c r="F26" s="6">
        <f>'全局参数'!$B$9+'全局参数'!$B$10</f>
        <v/>
      </c>
      <c r="G26" s="6">
        <f>G25+E26-F26</f>
        <v/>
      </c>
      <c r="H26" s="6" t="inlineStr">
        <is>
          <t>H25+('全局参数'!$B$11-'全局参数'!$B$12)</t>
        </is>
      </c>
      <c r="I26" s="6" t="inlineStr">
        <is>
          <t>I25+('全局参数'!$B$13-'全局参数'!$B$14)</t>
        </is>
      </c>
    </row>
    <row r="27">
      <c r="A27" s="6" t="n">
        <v>24</v>
      </c>
      <c r="B27" s="6">
        <f>'全局参数'!$B$4</f>
        <v/>
      </c>
      <c r="C27" s="6">
        <f>IF(MOD(A27,'全局参数'!$B$6)=0,'全局参数'!$B$5,0)+'全局参数'!$B$7</f>
        <v/>
      </c>
      <c r="D27" s="6">
        <f>D26+B27-C27</f>
        <v/>
      </c>
      <c r="E27" s="6">
        <f>'全局参数'!$B$8</f>
        <v/>
      </c>
      <c r="F27" s="6">
        <f>'全局参数'!$B$9+'全局参数'!$B$10</f>
        <v/>
      </c>
      <c r="G27" s="6">
        <f>G26+E27-F27</f>
        <v/>
      </c>
      <c r="H27" s="6" t="inlineStr">
        <is>
          <t>H26+('全局参数'!$B$11-'全局参数'!$B$12)</t>
        </is>
      </c>
      <c r="I27" s="6" t="inlineStr">
        <is>
          <t>I26+('全局参数'!$B$13-'全局参数'!$B$14)</t>
        </is>
      </c>
    </row>
    <row r="28">
      <c r="A28" s="6" t="n">
        <v>25</v>
      </c>
      <c r="B28" s="6">
        <f>'全局参数'!$B$4</f>
        <v/>
      </c>
      <c r="C28" s="6">
        <f>IF(MOD(A28,'全局参数'!$B$6)=0,'全局参数'!$B$5,0)+'全局参数'!$B$7</f>
        <v/>
      </c>
      <c r="D28" s="6">
        <f>D27+B28-C28</f>
        <v/>
      </c>
      <c r="E28" s="6">
        <f>'全局参数'!$B$8</f>
        <v/>
      </c>
      <c r="F28" s="6">
        <f>'全局参数'!$B$9+'全局参数'!$B$10</f>
        <v/>
      </c>
      <c r="G28" s="6">
        <f>G27+E28-F28</f>
        <v/>
      </c>
      <c r="H28" s="6" t="inlineStr">
        <is>
          <t>H27+('全局参数'!$B$11-'全局参数'!$B$12)</t>
        </is>
      </c>
      <c r="I28" s="6" t="inlineStr">
        <is>
          <t>I27+('全局参数'!$B$13-'全局参数'!$B$14)</t>
        </is>
      </c>
    </row>
    <row r="29">
      <c r="A29" s="6" t="n">
        <v>26</v>
      </c>
      <c r="B29" s="6">
        <f>'全局参数'!$B$4</f>
        <v/>
      </c>
      <c r="C29" s="6">
        <f>IF(MOD(A29,'全局参数'!$B$6)=0,'全局参数'!$B$5,0)+'全局参数'!$B$7</f>
        <v/>
      </c>
      <c r="D29" s="6">
        <f>D28+B29-C29</f>
        <v/>
      </c>
      <c r="E29" s="6">
        <f>'全局参数'!$B$8</f>
        <v/>
      </c>
      <c r="F29" s="6">
        <f>'全局参数'!$B$9+'全局参数'!$B$10</f>
        <v/>
      </c>
      <c r="G29" s="6">
        <f>G28+E29-F29</f>
        <v/>
      </c>
      <c r="H29" s="6" t="inlineStr">
        <is>
          <t>H28+('全局参数'!$B$11-'全局参数'!$B$12)</t>
        </is>
      </c>
      <c r="I29" s="6" t="inlineStr">
        <is>
          <t>I28+('全局参数'!$B$13-'全局参数'!$B$14)</t>
        </is>
      </c>
    </row>
    <row r="30">
      <c r="A30" s="6" t="n">
        <v>27</v>
      </c>
      <c r="B30" s="6">
        <f>'全局参数'!$B$4</f>
        <v/>
      </c>
      <c r="C30" s="6">
        <f>IF(MOD(A30,'全局参数'!$B$6)=0,'全局参数'!$B$5,0)+'全局参数'!$B$7</f>
        <v/>
      </c>
      <c r="D30" s="6">
        <f>D29+B30-C30</f>
        <v/>
      </c>
      <c r="E30" s="6">
        <f>'全局参数'!$B$8</f>
        <v/>
      </c>
      <c r="F30" s="6">
        <f>'全局参数'!$B$9+'全局参数'!$B$10</f>
        <v/>
      </c>
      <c r="G30" s="6">
        <f>G29+E30-F30</f>
        <v/>
      </c>
      <c r="H30" s="6" t="inlineStr">
        <is>
          <t>H29+('全局参数'!$B$11-'全局参数'!$B$12)</t>
        </is>
      </c>
      <c r="I30" s="6" t="inlineStr">
        <is>
          <t>I29+('全局参数'!$B$13-'全局参数'!$B$14)</t>
        </is>
      </c>
    </row>
    <row r="31">
      <c r="A31" s="6" t="n">
        <v>28</v>
      </c>
      <c r="B31" s="6">
        <f>'全局参数'!$B$4</f>
        <v/>
      </c>
      <c r="C31" s="6">
        <f>IF(MOD(A31,'全局参数'!$B$6)=0,'全局参数'!$B$5,0)+'全局参数'!$B$7</f>
        <v/>
      </c>
      <c r="D31" s="6">
        <f>D30+B31-C31</f>
        <v/>
      </c>
      <c r="E31" s="6">
        <f>'全局参数'!$B$8</f>
        <v/>
      </c>
      <c r="F31" s="6">
        <f>'全局参数'!$B$9+'全局参数'!$B$10</f>
        <v/>
      </c>
      <c r="G31" s="6">
        <f>G30+E31-F31</f>
        <v/>
      </c>
      <c r="H31" s="6" t="inlineStr">
        <is>
          <t>H30+('全局参数'!$B$11-'全局参数'!$B$12)</t>
        </is>
      </c>
      <c r="I31" s="6" t="inlineStr">
        <is>
          <t>I30+('全局参数'!$B$13-'全局参数'!$B$14)</t>
        </is>
      </c>
    </row>
    <row r="32">
      <c r="A32" s="6" t="n">
        <v>29</v>
      </c>
      <c r="B32" s="6">
        <f>'全局参数'!$B$4</f>
        <v/>
      </c>
      <c r="C32" s="6">
        <f>IF(MOD(A32,'全局参数'!$B$6)=0,'全局参数'!$B$5,0)+'全局参数'!$B$7</f>
        <v/>
      </c>
      <c r="D32" s="6">
        <f>D31+B32-C32</f>
        <v/>
      </c>
      <c r="E32" s="6">
        <f>'全局参数'!$B$8</f>
        <v/>
      </c>
      <c r="F32" s="6">
        <f>'全局参数'!$B$9+'全局参数'!$B$10</f>
        <v/>
      </c>
      <c r="G32" s="6">
        <f>G31+E32-F32</f>
        <v/>
      </c>
      <c r="H32" s="6" t="inlineStr">
        <is>
          <t>H31+('全局参数'!$B$11-'全局参数'!$B$12)</t>
        </is>
      </c>
      <c r="I32" s="6" t="inlineStr">
        <is>
          <t>I31+('全局参数'!$B$13-'全局参数'!$B$14)</t>
        </is>
      </c>
    </row>
    <row r="33">
      <c r="A33" s="6" t="n">
        <v>30</v>
      </c>
      <c r="B33" s="6">
        <f>'全局参数'!$B$4</f>
        <v/>
      </c>
      <c r="C33" s="6">
        <f>IF(MOD(A33,'全局参数'!$B$6)=0,'全局参数'!$B$5,0)+'全局参数'!$B$7</f>
        <v/>
      </c>
      <c r="D33" s="6">
        <f>D32+B33-C33</f>
        <v/>
      </c>
      <c r="E33" s="6">
        <f>'全局参数'!$B$8</f>
        <v/>
      </c>
      <c r="F33" s="6">
        <f>'全局参数'!$B$9+'全局参数'!$B$10</f>
        <v/>
      </c>
      <c r="G33" s="6">
        <f>G32+E33-F33</f>
        <v/>
      </c>
      <c r="H33" s="6" t="inlineStr">
        <is>
          <t>H32+('全局参数'!$B$11-'全局参数'!$B$12)</t>
        </is>
      </c>
      <c r="I33" s="6" t="inlineStr">
        <is>
          <t>I32+('全局参数'!$B$13-'全局参数'!$B$14)</t>
        </is>
      </c>
    </row>
    <row r="34">
      <c r="A34" s="6" t="n">
        <v>31</v>
      </c>
      <c r="B34" s="6">
        <f>'全局参数'!$B$4</f>
        <v/>
      </c>
      <c r="C34" s="6">
        <f>IF(MOD(A34,'全局参数'!$B$6)=0,'全局参数'!$B$5,0)+'全局参数'!$B$7</f>
        <v/>
      </c>
      <c r="D34" s="6">
        <f>D33+B34-C34</f>
        <v/>
      </c>
      <c r="E34" s="6">
        <f>'全局参数'!$B$8</f>
        <v/>
      </c>
      <c r="F34" s="6">
        <f>'全局参数'!$B$9+'全局参数'!$B$10</f>
        <v/>
      </c>
      <c r="G34" s="6">
        <f>G33+E34-F34</f>
        <v/>
      </c>
      <c r="H34" s="6" t="inlineStr">
        <is>
          <t>H33+('全局参数'!$B$11-'全局参数'!$B$12)</t>
        </is>
      </c>
      <c r="I34" s="6" t="inlineStr">
        <is>
          <t>I33+('全局参数'!$B$13-'全局参数'!$B$14)</t>
        </is>
      </c>
    </row>
    <row r="35">
      <c r="A35" s="6" t="n">
        <v>32</v>
      </c>
      <c r="B35" s="6">
        <f>'全局参数'!$B$4</f>
        <v/>
      </c>
      <c r="C35" s="6">
        <f>IF(MOD(A35,'全局参数'!$B$6)=0,'全局参数'!$B$5,0)+'全局参数'!$B$7</f>
        <v/>
      </c>
      <c r="D35" s="6">
        <f>D34+B35-C35</f>
        <v/>
      </c>
      <c r="E35" s="6">
        <f>'全局参数'!$B$8</f>
        <v/>
      </c>
      <c r="F35" s="6">
        <f>'全局参数'!$B$9+'全局参数'!$B$10</f>
        <v/>
      </c>
      <c r="G35" s="6">
        <f>G34+E35-F35</f>
        <v/>
      </c>
      <c r="H35" s="6" t="inlineStr">
        <is>
          <t>H34+('全局参数'!$B$11-'全局参数'!$B$12)</t>
        </is>
      </c>
      <c r="I35" s="6" t="inlineStr">
        <is>
          <t>I34+('全局参数'!$B$13-'全局参数'!$B$14)</t>
        </is>
      </c>
    </row>
    <row r="36">
      <c r="A36" s="6" t="n">
        <v>33</v>
      </c>
      <c r="B36" s="6">
        <f>'全局参数'!$B$4</f>
        <v/>
      </c>
      <c r="C36" s="6">
        <f>IF(MOD(A36,'全局参数'!$B$6)=0,'全局参数'!$B$5,0)+'全局参数'!$B$7</f>
        <v/>
      </c>
      <c r="D36" s="6">
        <f>D35+B36-C36</f>
        <v/>
      </c>
      <c r="E36" s="6">
        <f>'全局参数'!$B$8</f>
        <v/>
      </c>
      <c r="F36" s="6">
        <f>'全局参数'!$B$9+'全局参数'!$B$10</f>
        <v/>
      </c>
      <c r="G36" s="6">
        <f>G35+E36-F36</f>
        <v/>
      </c>
      <c r="H36" s="6" t="inlineStr">
        <is>
          <t>H35+('全局参数'!$B$11-'全局参数'!$B$12)</t>
        </is>
      </c>
      <c r="I36" s="6" t="inlineStr">
        <is>
          <t>I35+('全局参数'!$B$13-'全局参数'!$B$14)</t>
        </is>
      </c>
    </row>
    <row r="37">
      <c r="A37" s="6" t="n">
        <v>34</v>
      </c>
      <c r="B37" s="6">
        <f>'全局参数'!$B$4</f>
        <v/>
      </c>
      <c r="C37" s="6">
        <f>IF(MOD(A37,'全局参数'!$B$6)=0,'全局参数'!$B$5,0)+'全局参数'!$B$7</f>
        <v/>
      </c>
      <c r="D37" s="6">
        <f>D36+B37-C37</f>
        <v/>
      </c>
      <c r="E37" s="6">
        <f>'全局参数'!$B$8</f>
        <v/>
      </c>
      <c r="F37" s="6">
        <f>'全局参数'!$B$9+'全局参数'!$B$10</f>
        <v/>
      </c>
      <c r="G37" s="6">
        <f>G36+E37-F37</f>
        <v/>
      </c>
      <c r="H37" s="6" t="inlineStr">
        <is>
          <t>H36+('全局参数'!$B$11-'全局参数'!$B$12)</t>
        </is>
      </c>
      <c r="I37" s="6" t="inlineStr">
        <is>
          <t>I36+('全局参数'!$B$13-'全局参数'!$B$14)</t>
        </is>
      </c>
    </row>
    <row r="38">
      <c r="A38" s="6" t="n">
        <v>35</v>
      </c>
      <c r="B38" s="6">
        <f>'全局参数'!$B$4</f>
        <v/>
      </c>
      <c r="C38" s="6">
        <f>IF(MOD(A38,'全局参数'!$B$6)=0,'全局参数'!$B$5,0)+'全局参数'!$B$7</f>
        <v/>
      </c>
      <c r="D38" s="6">
        <f>D37+B38-C38</f>
        <v/>
      </c>
      <c r="E38" s="6">
        <f>'全局参数'!$B$8</f>
        <v/>
      </c>
      <c r="F38" s="6">
        <f>'全局参数'!$B$9+'全局参数'!$B$10</f>
        <v/>
      </c>
      <c r="G38" s="6">
        <f>G37+E38-F38</f>
        <v/>
      </c>
      <c r="H38" s="6" t="inlineStr">
        <is>
          <t>H37+('全局参数'!$B$11-'全局参数'!$B$12)</t>
        </is>
      </c>
      <c r="I38" s="6" t="inlineStr">
        <is>
          <t>I37+('全局参数'!$B$13-'全局参数'!$B$14)</t>
        </is>
      </c>
    </row>
    <row r="39">
      <c r="A39" s="6" t="n">
        <v>36</v>
      </c>
      <c r="B39" s="6">
        <f>'全局参数'!$B$4</f>
        <v/>
      </c>
      <c r="C39" s="6">
        <f>IF(MOD(A39,'全局参数'!$B$6)=0,'全局参数'!$B$5,0)+'全局参数'!$B$7</f>
        <v/>
      </c>
      <c r="D39" s="6">
        <f>D38+B39-C39</f>
        <v/>
      </c>
      <c r="E39" s="6">
        <f>'全局参数'!$B$8</f>
        <v/>
      </c>
      <c r="F39" s="6">
        <f>'全局参数'!$B$9+'全局参数'!$B$10</f>
        <v/>
      </c>
      <c r="G39" s="6">
        <f>G38+E39-F39</f>
        <v/>
      </c>
      <c r="H39" s="6" t="inlineStr">
        <is>
          <t>H38+('全局参数'!$B$11-'全局参数'!$B$12)</t>
        </is>
      </c>
      <c r="I39" s="6" t="inlineStr">
        <is>
          <t>I38+('全局参数'!$B$13-'全局参数'!$B$14)</t>
        </is>
      </c>
    </row>
    <row r="40">
      <c r="A40" s="6" t="n">
        <v>37</v>
      </c>
      <c r="B40" s="6">
        <f>'全局参数'!$B$4</f>
        <v/>
      </c>
      <c r="C40" s="6">
        <f>IF(MOD(A40,'全局参数'!$B$6)=0,'全局参数'!$B$5,0)+'全局参数'!$B$7</f>
        <v/>
      </c>
      <c r="D40" s="6">
        <f>D39+B40-C40</f>
        <v/>
      </c>
      <c r="E40" s="6">
        <f>'全局参数'!$B$8</f>
        <v/>
      </c>
      <c r="F40" s="6">
        <f>'全局参数'!$B$9+'全局参数'!$B$10</f>
        <v/>
      </c>
      <c r="G40" s="6">
        <f>G39+E40-F40</f>
        <v/>
      </c>
      <c r="H40" s="6" t="inlineStr">
        <is>
          <t>H39+('全局参数'!$B$11-'全局参数'!$B$12)</t>
        </is>
      </c>
      <c r="I40" s="6" t="inlineStr">
        <is>
          <t>I39+('全局参数'!$B$13-'全局参数'!$B$14)</t>
        </is>
      </c>
    </row>
    <row r="41">
      <c r="A41" s="6" t="n">
        <v>38</v>
      </c>
      <c r="B41" s="6">
        <f>'全局参数'!$B$4</f>
        <v/>
      </c>
      <c r="C41" s="6">
        <f>IF(MOD(A41,'全局参数'!$B$6)=0,'全局参数'!$B$5,0)+'全局参数'!$B$7</f>
        <v/>
      </c>
      <c r="D41" s="6">
        <f>D40+B41-C41</f>
        <v/>
      </c>
      <c r="E41" s="6">
        <f>'全局参数'!$B$8</f>
        <v/>
      </c>
      <c r="F41" s="6">
        <f>'全局参数'!$B$9+'全局参数'!$B$10</f>
        <v/>
      </c>
      <c r="G41" s="6">
        <f>G40+E41-F41</f>
        <v/>
      </c>
      <c r="H41" s="6" t="inlineStr">
        <is>
          <t>H40+('全局参数'!$B$11-'全局参数'!$B$12)</t>
        </is>
      </c>
      <c r="I41" s="6" t="inlineStr">
        <is>
          <t>I40+('全局参数'!$B$13-'全局参数'!$B$14)</t>
        </is>
      </c>
    </row>
    <row r="42">
      <c r="A42" s="6" t="n">
        <v>39</v>
      </c>
      <c r="B42" s="6">
        <f>'全局参数'!$B$4</f>
        <v/>
      </c>
      <c r="C42" s="6">
        <f>IF(MOD(A42,'全局参数'!$B$6)=0,'全局参数'!$B$5,0)+'全局参数'!$B$7</f>
        <v/>
      </c>
      <c r="D42" s="6">
        <f>D41+B42-C42</f>
        <v/>
      </c>
      <c r="E42" s="6">
        <f>'全局参数'!$B$8</f>
        <v/>
      </c>
      <c r="F42" s="6">
        <f>'全局参数'!$B$9+'全局参数'!$B$10</f>
        <v/>
      </c>
      <c r="G42" s="6">
        <f>G41+E42-F42</f>
        <v/>
      </c>
      <c r="H42" s="6" t="inlineStr">
        <is>
          <t>H41+('全局参数'!$B$11-'全局参数'!$B$12)</t>
        </is>
      </c>
      <c r="I42" s="6" t="inlineStr">
        <is>
          <t>I41+('全局参数'!$B$13-'全局参数'!$B$14)</t>
        </is>
      </c>
    </row>
    <row r="43">
      <c r="A43" s="6" t="n">
        <v>40</v>
      </c>
      <c r="B43" s="6">
        <f>'全局参数'!$B$4</f>
        <v/>
      </c>
      <c r="C43" s="6">
        <f>IF(MOD(A43,'全局参数'!$B$6)=0,'全局参数'!$B$5,0)+'全局参数'!$B$7</f>
        <v/>
      </c>
      <c r="D43" s="6">
        <f>D42+B43-C43</f>
        <v/>
      </c>
      <c r="E43" s="6">
        <f>'全局参数'!$B$8</f>
        <v/>
      </c>
      <c r="F43" s="6">
        <f>'全局参数'!$B$9+'全局参数'!$B$10</f>
        <v/>
      </c>
      <c r="G43" s="6">
        <f>G42+E43-F43</f>
        <v/>
      </c>
      <c r="H43" s="6" t="inlineStr">
        <is>
          <t>H42+('全局参数'!$B$11-'全局参数'!$B$12)</t>
        </is>
      </c>
      <c r="I43" s="6" t="inlineStr">
        <is>
          <t>I42+('全局参数'!$B$13-'全局参数'!$B$14)</t>
        </is>
      </c>
    </row>
    <row r="44">
      <c r="A44" s="6" t="n">
        <v>41</v>
      </c>
      <c r="B44" s="6">
        <f>'全局参数'!$B$4</f>
        <v/>
      </c>
      <c r="C44" s="6">
        <f>IF(MOD(A44,'全局参数'!$B$6)=0,'全局参数'!$B$5,0)+'全局参数'!$B$7</f>
        <v/>
      </c>
      <c r="D44" s="6">
        <f>D43+B44-C44</f>
        <v/>
      </c>
      <c r="E44" s="6">
        <f>'全局参数'!$B$8</f>
        <v/>
      </c>
      <c r="F44" s="6">
        <f>'全局参数'!$B$9+'全局参数'!$B$10</f>
        <v/>
      </c>
      <c r="G44" s="6">
        <f>G43+E44-F44</f>
        <v/>
      </c>
      <c r="H44" s="6" t="inlineStr">
        <is>
          <t>H43+('全局参数'!$B$11-'全局参数'!$B$12)</t>
        </is>
      </c>
      <c r="I44" s="6" t="inlineStr">
        <is>
          <t>I43+('全局参数'!$B$13-'全局参数'!$B$14)</t>
        </is>
      </c>
    </row>
    <row r="45">
      <c r="A45" s="6" t="n">
        <v>42</v>
      </c>
      <c r="B45" s="6">
        <f>'全局参数'!$B$4</f>
        <v/>
      </c>
      <c r="C45" s="6">
        <f>IF(MOD(A45,'全局参数'!$B$6)=0,'全局参数'!$B$5,0)+'全局参数'!$B$7</f>
        <v/>
      </c>
      <c r="D45" s="6">
        <f>D44+B45-C45</f>
        <v/>
      </c>
      <c r="E45" s="6">
        <f>'全局参数'!$B$8</f>
        <v/>
      </c>
      <c r="F45" s="6">
        <f>'全局参数'!$B$9+'全局参数'!$B$10</f>
        <v/>
      </c>
      <c r="G45" s="6">
        <f>G44+E45-F45</f>
        <v/>
      </c>
      <c r="H45" s="6" t="inlineStr">
        <is>
          <t>H44+('全局参数'!$B$11-'全局参数'!$B$12)</t>
        </is>
      </c>
      <c r="I45" s="6" t="inlineStr">
        <is>
          <t>I44+('全局参数'!$B$13-'全局参数'!$B$14)</t>
        </is>
      </c>
    </row>
    <row r="46">
      <c r="A46" s="6" t="n">
        <v>43</v>
      </c>
      <c r="B46" s="6">
        <f>'全局参数'!$B$4</f>
        <v/>
      </c>
      <c r="C46" s="6">
        <f>IF(MOD(A46,'全局参数'!$B$6)=0,'全局参数'!$B$5,0)+'全局参数'!$B$7</f>
        <v/>
      </c>
      <c r="D46" s="6">
        <f>D45+B46-C46</f>
        <v/>
      </c>
      <c r="E46" s="6">
        <f>'全局参数'!$B$8</f>
        <v/>
      </c>
      <c r="F46" s="6">
        <f>'全局参数'!$B$9+'全局参数'!$B$10</f>
        <v/>
      </c>
      <c r="G46" s="6">
        <f>G45+E46-F46</f>
        <v/>
      </c>
      <c r="H46" s="6" t="inlineStr">
        <is>
          <t>H45+('全局参数'!$B$11-'全局参数'!$B$12)</t>
        </is>
      </c>
      <c r="I46" s="6" t="inlineStr">
        <is>
          <t>I45+('全局参数'!$B$13-'全局参数'!$B$14)</t>
        </is>
      </c>
    </row>
    <row r="47">
      <c r="A47" s="6" t="n">
        <v>44</v>
      </c>
      <c r="B47" s="6">
        <f>'全局参数'!$B$4</f>
        <v/>
      </c>
      <c r="C47" s="6">
        <f>IF(MOD(A47,'全局参数'!$B$6)=0,'全局参数'!$B$5,0)+'全局参数'!$B$7</f>
        <v/>
      </c>
      <c r="D47" s="6">
        <f>D46+B47-C47</f>
        <v/>
      </c>
      <c r="E47" s="6">
        <f>'全局参数'!$B$8</f>
        <v/>
      </c>
      <c r="F47" s="6">
        <f>'全局参数'!$B$9+'全局参数'!$B$10</f>
        <v/>
      </c>
      <c r="G47" s="6">
        <f>G46+E47-F47</f>
        <v/>
      </c>
      <c r="H47" s="6" t="inlineStr">
        <is>
          <t>H46+('全局参数'!$B$11-'全局参数'!$B$12)</t>
        </is>
      </c>
      <c r="I47" s="6" t="inlineStr">
        <is>
          <t>I46+('全局参数'!$B$13-'全局参数'!$B$14)</t>
        </is>
      </c>
    </row>
    <row r="48">
      <c r="A48" s="6" t="n">
        <v>45</v>
      </c>
      <c r="B48" s="6">
        <f>'全局参数'!$B$4</f>
        <v/>
      </c>
      <c r="C48" s="6">
        <f>IF(MOD(A48,'全局参数'!$B$6)=0,'全局参数'!$B$5,0)+'全局参数'!$B$7</f>
        <v/>
      </c>
      <c r="D48" s="6">
        <f>D47+B48-C48</f>
        <v/>
      </c>
      <c r="E48" s="6">
        <f>'全局参数'!$B$8</f>
        <v/>
      </c>
      <c r="F48" s="6">
        <f>'全局参数'!$B$9+'全局参数'!$B$10</f>
        <v/>
      </c>
      <c r="G48" s="6">
        <f>G47+E48-F48</f>
        <v/>
      </c>
      <c r="H48" s="6" t="inlineStr">
        <is>
          <t>H47+('全局参数'!$B$11-'全局参数'!$B$12)</t>
        </is>
      </c>
      <c r="I48" s="6" t="inlineStr">
        <is>
          <t>I47+('全局参数'!$B$13-'全局参数'!$B$14)</t>
        </is>
      </c>
    </row>
    <row r="49">
      <c r="A49" s="6" t="n">
        <v>46</v>
      </c>
      <c r="B49" s="6">
        <f>'全局参数'!$B$4</f>
        <v/>
      </c>
      <c r="C49" s="6">
        <f>IF(MOD(A49,'全局参数'!$B$6)=0,'全局参数'!$B$5,0)+'全局参数'!$B$7</f>
        <v/>
      </c>
      <c r="D49" s="6">
        <f>D48+B49-C49</f>
        <v/>
      </c>
      <c r="E49" s="6">
        <f>'全局参数'!$B$8</f>
        <v/>
      </c>
      <c r="F49" s="6">
        <f>'全局参数'!$B$9+'全局参数'!$B$10</f>
        <v/>
      </c>
      <c r="G49" s="6">
        <f>G48+E49-F49</f>
        <v/>
      </c>
      <c r="H49" s="6" t="inlineStr">
        <is>
          <t>H48+('全局参数'!$B$11-'全局参数'!$B$12)</t>
        </is>
      </c>
      <c r="I49" s="6" t="inlineStr">
        <is>
          <t>I48+('全局参数'!$B$13-'全局参数'!$B$14)</t>
        </is>
      </c>
    </row>
    <row r="50">
      <c r="A50" s="6" t="n">
        <v>47</v>
      </c>
      <c r="B50" s="6">
        <f>'全局参数'!$B$4</f>
        <v/>
      </c>
      <c r="C50" s="6">
        <f>IF(MOD(A50,'全局参数'!$B$6)=0,'全局参数'!$B$5,0)+'全局参数'!$B$7</f>
        <v/>
      </c>
      <c r="D50" s="6">
        <f>D49+B50-C50</f>
        <v/>
      </c>
      <c r="E50" s="6">
        <f>'全局参数'!$B$8</f>
        <v/>
      </c>
      <c r="F50" s="6">
        <f>'全局参数'!$B$9+'全局参数'!$B$10</f>
        <v/>
      </c>
      <c r="G50" s="6">
        <f>G49+E50-F50</f>
        <v/>
      </c>
      <c r="H50" s="6" t="inlineStr">
        <is>
          <t>H49+('全局参数'!$B$11-'全局参数'!$B$12)</t>
        </is>
      </c>
      <c r="I50" s="6" t="inlineStr">
        <is>
          <t>I49+('全局参数'!$B$13-'全局参数'!$B$14)</t>
        </is>
      </c>
    </row>
    <row r="51">
      <c r="A51" s="6" t="n">
        <v>48</v>
      </c>
      <c r="B51" s="6">
        <f>'全局参数'!$B$4</f>
        <v/>
      </c>
      <c r="C51" s="6">
        <f>IF(MOD(A51,'全局参数'!$B$6)=0,'全局参数'!$B$5,0)+'全局参数'!$B$7</f>
        <v/>
      </c>
      <c r="D51" s="6">
        <f>D50+B51-C51</f>
        <v/>
      </c>
      <c r="E51" s="6">
        <f>'全局参数'!$B$8</f>
        <v/>
      </c>
      <c r="F51" s="6">
        <f>'全局参数'!$B$9+'全局参数'!$B$10</f>
        <v/>
      </c>
      <c r="G51" s="6">
        <f>G50+E51-F51</f>
        <v/>
      </c>
      <c r="H51" s="6" t="inlineStr">
        <is>
          <t>H50+('全局参数'!$B$11-'全局参数'!$B$12)</t>
        </is>
      </c>
      <c r="I51" s="6" t="inlineStr">
        <is>
          <t>I50+('全局参数'!$B$13-'全局参数'!$B$14)</t>
        </is>
      </c>
    </row>
    <row r="52">
      <c r="A52" s="6" t="n">
        <v>49</v>
      </c>
      <c r="B52" s="6">
        <f>'全局参数'!$B$4</f>
        <v/>
      </c>
      <c r="C52" s="6">
        <f>IF(MOD(A52,'全局参数'!$B$6)=0,'全局参数'!$B$5,0)+'全局参数'!$B$7</f>
        <v/>
      </c>
      <c r="D52" s="6">
        <f>D51+B52-C52</f>
        <v/>
      </c>
      <c r="E52" s="6">
        <f>'全局参数'!$B$8</f>
        <v/>
      </c>
      <c r="F52" s="6">
        <f>'全局参数'!$B$9+'全局参数'!$B$10</f>
        <v/>
      </c>
      <c r="G52" s="6">
        <f>G51+E52-F52</f>
        <v/>
      </c>
      <c r="H52" s="6" t="inlineStr">
        <is>
          <t>H51+('全局参数'!$B$11-'全局参数'!$B$12)</t>
        </is>
      </c>
      <c r="I52" s="6" t="inlineStr">
        <is>
          <t>I51+('全局参数'!$B$13-'全局参数'!$B$14)</t>
        </is>
      </c>
    </row>
    <row r="53">
      <c r="A53" s="6" t="n">
        <v>50</v>
      </c>
      <c r="B53" s="6">
        <f>'全局参数'!$B$4</f>
        <v/>
      </c>
      <c r="C53" s="6">
        <f>IF(MOD(A53,'全局参数'!$B$6)=0,'全局参数'!$B$5,0)+'全局参数'!$B$7</f>
        <v/>
      </c>
      <c r="D53" s="6">
        <f>D52+B53-C53</f>
        <v/>
      </c>
      <c r="E53" s="6">
        <f>'全局参数'!$B$8</f>
        <v/>
      </c>
      <c r="F53" s="6">
        <f>'全局参数'!$B$9+'全局参数'!$B$10</f>
        <v/>
      </c>
      <c r="G53" s="6">
        <f>G52+E53-F53</f>
        <v/>
      </c>
      <c r="H53" s="6" t="inlineStr">
        <is>
          <t>H52+('全局参数'!$B$11-'全局参数'!$B$12)</t>
        </is>
      </c>
      <c r="I53" s="6" t="inlineStr">
        <is>
          <t>I52+('全局参数'!$B$13-'全局参数'!$B$14)</t>
        </is>
      </c>
    </row>
    <row r="54">
      <c r="A54" s="6" t="n">
        <v>51</v>
      </c>
      <c r="B54" s="6">
        <f>'全局参数'!$B$4</f>
        <v/>
      </c>
      <c r="C54" s="6">
        <f>IF(MOD(A54,'全局参数'!$B$6)=0,'全局参数'!$B$5,0)+'全局参数'!$B$7</f>
        <v/>
      </c>
      <c r="D54" s="6">
        <f>D53+B54-C54</f>
        <v/>
      </c>
      <c r="E54" s="6">
        <f>'全局参数'!$B$8</f>
        <v/>
      </c>
      <c r="F54" s="6">
        <f>'全局参数'!$B$9+'全局参数'!$B$10</f>
        <v/>
      </c>
      <c r="G54" s="6">
        <f>G53+E54-F54</f>
        <v/>
      </c>
      <c r="H54" s="6" t="inlineStr">
        <is>
          <t>H53+('全局参数'!$B$11-'全局参数'!$B$12)</t>
        </is>
      </c>
      <c r="I54" s="6" t="inlineStr">
        <is>
          <t>I53+('全局参数'!$B$13-'全局参数'!$B$14)</t>
        </is>
      </c>
    </row>
    <row r="55">
      <c r="A55" s="6" t="n">
        <v>52</v>
      </c>
      <c r="B55" s="6">
        <f>'全局参数'!$B$4</f>
        <v/>
      </c>
      <c r="C55" s="6">
        <f>IF(MOD(A55,'全局参数'!$B$6)=0,'全局参数'!$B$5,0)+'全局参数'!$B$7</f>
        <v/>
      </c>
      <c r="D55" s="6">
        <f>D54+B55-C55</f>
        <v/>
      </c>
      <c r="E55" s="6">
        <f>'全局参数'!$B$8</f>
        <v/>
      </c>
      <c r="F55" s="6">
        <f>'全局参数'!$B$9+'全局参数'!$B$10</f>
        <v/>
      </c>
      <c r="G55" s="6">
        <f>G54+E55-F55</f>
        <v/>
      </c>
      <c r="H55" s="6" t="inlineStr">
        <is>
          <t>H54+('全局参数'!$B$11-'全局参数'!$B$12)</t>
        </is>
      </c>
      <c r="I55" s="6" t="inlineStr">
        <is>
          <t>I54+('全局参数'!$B$13-'全局参数'!$B$14)</t>
        </is>
      </c>
    </row>
    <row r="56">
      <c r="A56" s="6" t="n">
        <v>53</v>
      </c>
      <c r="B56" s="6">
        <f>'全局参数'!$B$4</f>
        <v/>
      </c>
      <c r="C56" s="6">
        <f>IF(MOD(A56,'全局参数'!$B$6)=0,'全局参数'!$B$5,0)+'全局参数'!$B$7</f>
        <v/>
      </c>
      <c r="D56" s="6">
        <f>D55+B56-C56</f>
        <v/>
      </c>
      <c r="E56" s="6">
        <f>'全局参数'!$B$8</f>
        <v/>
      </c>
      <c r="F56" s="6">
        <f>'全局参数'!$B$9+'全局参数'!$B$10</f>
        <v/>
      </c>
      <c r="G56" s="6">
        <f>G55+E56-F56</f>
        <v/>
      </c>
      <c r="H56" s="6" t="inlineStr">
        <is>
          <t>H55+('全局参数'!$B$11-'全局参数'!$B$12)</t>
        </is>
      </c>
      <c r="I56" s="6" t="inlineStr">
        <is>
          <t>I55+('全局参数'!$B$13-'全局参数'!$B$14)</t>
        </is>
      </c>
    </row>
    <row r="57">
      <c r="A57" s="6" t="n">
        <v>54</v>
      </c>
      <c r="B57" s="6">
        <f>'全局参数'!$B$4</f>
        <v/>
      </c>
      <c r="C57" s="6">
        <f>IF(MOD(A57,'全局参数'!$B$6)=0,'全局参数'!$B$5,0)+'全局参数'!$B$7</f>
        <v/>
      </c>
      <c r="D57" s="6">
        <f>D56+B57-C57</f>
        <v/>
      </c>
      <c r="E57" s="6">
        <f>'全局参数'!$B$8</f>
        <v/>
      </c>
      <c r="F57" s="6">
        <f>'全局参数'!$B$9+'全局参数'!$B$10</f>
        <v/>
      </c>
      <c r="G57" s="6">
        <f>G56+E57-F57</f>
        <v/>
      </c>
      <c r="H57" s="6" t="inlineStr">
        <is>
          <t>H56+('全局参数'!$B$11-'全局参数'!$B$12)</t>
        </is>
      </c>
      <c r="I57" s="6" t="inlineStr">
        <is>
          <t>I56+('全局参数'!$B$13-'全局参数'!$B$14)</t>
        </is>
      </c>
    </row>
    <row r="58">
      <c r="A58" s="6" t="n">
        <v>55</v>
      </c>
      <c r="B58" s="6">
        <f>'全局参数'!$B$4</f>
        <v/>
      </c>
      <c r="C58" s="6">
        <f>IF(MOD(A58,'全局参数'!$B$6)=0,'全局参数'!$B$5,0)+'全局参数'!$B$7</f>
        <v/>
      </c>
      <c r="D58" s="6">
        <f>D57+B58-C58</f>
        <v/>
      </c>
      <c r="E58" s="6">
        <f>'全局参数'!$B$8</f>
        <v/>
      </c>
      <c r="F58" s="6">
        <f>'全局参数'!$B$9+'全局参数'!$B$10</f>
        <v/>
      </c>
      <c r="G58" s="6">
        <f>G57+E58-F58</f>
        <v/>
      </c>
      <c r="H58" s="6" t="inlineStr">
        <is>
          <t>H57+('全局参数'!$B$11-'全局参数'!$B$12)</t>
        </is>
      </c>
      <c r="I58" s="6" t="inlineStr">
        <is>
          <t>I57+('全局参数'!$B$13-'全局参数'!$B$14)</t>
        </is>
      </c>
    </row>
    <row r="59">
      <c r="A59" s="6" t="n">
        <v>56</v>
      </c>
      <c r="B59" s="6">
        <f>'全局参数'!$B$4</f>
        <v/>
      </c>
      <c r="C59" s="6">
        <f>IF(MOD(A59,'全局参数'!$B$6)=0,'全局参数'!$B$5,0)+'全局参数'!$B$7</f>
        <v/>
      </c>
      <c r="D59" s="6">
        <f>D58+B59-C59</f>
        <v/>
      </c>
      <c r="E59" s="6">
        <f>'全局参数'!$B$8</f>
        <v/>
      </c>
      <c r="F59" s="6">
        <f>'全局参数'!$B$9+'全局参数'!$B$10</f>
        <v/>
      </c>
      <c r="G59" s="6">
        <f>G58+E59-F59</f>
        <v/>
      </c>
      <c r="H59" s="6" t="inlineStr">
        <is>
          <t>H58+('全局参数'!$B$11-'全局参数'!$B$12)</t>
        </is>
      </c>
      <c r="I59" s="6" t="inlineStr">
        <is>
          <t>I58+('全局参数'!$B$13-'全局参数'!$B$14)</t>
        </is>
      </c>
    </row>
    <row r="60">
      <c r="A60" s="6" t="n">
        <v>57</v>
      </c>
      <c r="B60" s="6">
        <f>'全局参数'!$B$4</f>
        <v/>
      </c>
      <c r="C60" s="6">
        <f>IF(MOD(A60,'全局参数'!$B$6)=0,'全局参数'!$B$5,0)+'全局参数'!$B$7</f>
        <v/>
      </c>
      <c r="D60" s="6">
        <f>D59+B60-C60</f>
        <v/>
      </c>
      <c r="E60" s="6">
        <f>'全局参数'!$B$8</f>
        <v/>
      </c>
      <c r="F60" s="6">
        <f>'全局参数'!$B$9+'全局参数'!$B$10</f>
        <v/>
      </c>
      <c r="G60" s="6">
        <f>G59+E60-F60</f>
        <v/>
      </c>
      <c r="H60" s="6" t="inlineStr">
        <is>
          <t>H59+('全局参数'!$B$11-'全局参数'!$B$12)</t>
        </is>
      </c>
      <c r="I60" s="6" t="inlineStr">
        <is>
          <t>I59+('全局参数'!$B$13-'全局参数'!$B$14)</t>
        </is>
      </c>
    </row>
    <row r="61">
      <c r="A61" s="6" t="n">
        <v>58</v>
      </c>
      <c r="B61" s="6">
        <f>'全局参数'!$B$4</f>
        <v/>
      </c>
      <c r="C61" s="6">
        <f>IF(MOD(A61,'全局参数'!$B$6)=0,'全局参数'!$B$5,0)+'全局参数'!$B$7</f>
        <v/>
      </c>
      <c r="D61" s="6">
        <f>D60+B61-C61</f>
        <v/>
      </c>
      <c r="E61" s="6">
        <f>'全局参数'!$B$8</f>
        <v/>
      </c>
      <c r="F61" s="6">
        <f>'全局参数'!$B$9+'全局参数'!$B$10</f>
        <v/>
      </c>
      <c r="G61" s="6">
        <f>G60+E61-F61</f>
        <v/>
      </c>
      <c r="H61" s="6" t="inlineStr">
        <is>
          <t>H60+('全局参数'!$B$11-'全局参数'!$B$12)</t>
        </is>
      </c>
      <c r="I61" s="6" t="inlineStr">
        <is>
          <t>I60+('全局参数'!$B$13-'全局参数'!$B$14)</t>
        </is>
      </c>
    </row>
    <row r="62">
      <c r="A62" s="6" t="n">
        <v>59</v>
      </c>
      <c r="B62" s="6">
        <f>'全局参数'!$B$4</f>
        <v/>
      </c>
      <c r="C62" s="6">
        <f>IF(MOD(A62,'全局参数'!$B$6)=0,'全局参数'!$B$5,0)+'全局参数'!$B$7</f>
        <v/>
      </c>
      <c r="D62" s="6">
        <f>D61+B62-C62</f>
        <v/>
      </c>
      <c r="E62" s="6">
        <f>'全局参数'!$B$8</f>
        <v/>
      </c>
      <c r="F62" s="6">
        <f>'全局参数'!$B$9+'全局参数'!$B$10</f>
        <v/>
      </c>
      <c r="G62" s="6">
        <f>G61+E62-F62</f>
        <v/>
      </c>
      <c r="H62" s="6" t="inlineStr">
        <is>
          <t>H61+('全局参数'!$B$11-'全局参数'!$B$12)</t>
        </is>
      </c>
      <c r="I62" s="6" t="inlineStr">
        <is>
          <t>I61+('全局参数'!$B$13-'全局参数'!$B$14)</t>
        </is>
      </c>
    </row>
    <row r="63">
      <c r="A63" s="6" t="n">
        <v>60</v>
      </c>
      <c r="B63" s="6">
        <f>'全局参数'!$B$4</f>
        <v/>
      </c>
      <c r="C63" s="6">
        <f>IF(MOD(A63,'全局参数'!$B$6)=0,'全局参数'!$B$5,0)+'全局参数'!$B$7</f>
        <v/>
      </c>
      <c r="D63" s="6">
        <f>D62+B63-C63</f>
        <v/>
      </c>
      <c r="E63" s="6">
        <f>'全局参数'!$B$8</f>
        <v/>
      </c>
      <c r="F63" s="6">
        <f>'全局参数'!$B$9+'全局参数'!$B$10</f>
        <v/>
      </c>
      <c r="G63" s="6">
        <f>G62+E63-F63</f>
        <v/>
      </c>
      <c r="H63" s="6" t="inlineStr">
        <is>
          <t>H62+('全局参数'!$B$11-'全局参数'!$B$12)</t>
        </is>
      </c>
      <c r="I63" s="6" t="inlineStr">
        <is>
          <t>I62+('全局参数'!$B$13-'全局参数'!$B$14)</t>
        </is>
      </c>
    </row>
    <row r="64">
      <c r="A64" s="6" t="n">
        <v>61</v>
      </c>
      <c r="B64" s="6">
        <f>'全局参数'!$B$4</f>
        <v/>
      </c>
      <c r="C64" s="6">
        <f>IF(MOD(A64,'全局参数'!$B$6)=0,'全局参数'!$B$5,0)+'全局参数'!$B$7</f>
        <v/>
      </c>
      <c r="D64" s="6">
        <f>D63+B64-C64</f>
        <v/>
      </c>
      <c r="E64" s="6">
        <f>'全局参数'!$B$8</f>
        <v/>
      </c>
      <c r="F64" s="6">
        <f>'全局参数'!$B$9+'全局参数'!$B$10</f>
        <v/>
      </c>
      <c r="G64" s="6">
        <f>G63+E64-F64</f>
        <v/>
      </c>
      <c r="H64" s="6" t="inlineStr">
        <is>
          <t>H63+('全局参数'!$B$11-'全局参数'!$B$12)</t>
        </is>
      </c>
      <c r="I64" s="6" t="inlineStr">
        <is>
          <t>I63+('全局参数'!$B$13-'全局参数'!$B$14)</t>
        </is>
      </c>
    </row>
    <row r="65">
      <c r="A65" s="6" t="n">
        <v>62</v>
      </c>
      <c r="B65" s="6">
        <f>'全局参数'!$B$4</f>
        <v/>
      </c>
      <c r="C65" s="6">
        <f>IF(MOD(A65,'全局参数'!$B$6)=0,'全局参数'!$B$5,0)+'全局参数'!$B$7</f>
        <v/>
      </c>
      <c r="D65" s="6">
        <f>D64+B65-C65</f>
        <v/>
      </c>
      <c r="E65" s="6">
        <f>'全局参数'!$B$8</f>
        <v/>
      </c>
      <c r="F65" s="6">
        <f>'全局参数'!$B$9+'全局参数'!$B$10</f>
        <v/>
      </c>
      <c r="G65" s="6">
        <f>G64+E65-F65</f>
        <v/>
      </c>
      <c r="H65" s="6" t="inlineStr">
        <is>
          <t>H64+('全局参数'!$B$11-'全局参数'!$B$12)</t>
        </is>
      </c>
      <c r="I65" s="6" t="inlineStr">
        <is>
          <t>I64+('全局参数'!$B$13-'全局参数'!$B$14)</t>
        </is>
      </c>
    </row>
    <row r="66">
      <c r="A66" s="6" t="n">
        <v>63</v>
      </c>
      <c r="B66" s="6">
        <f>'全局参数'!$B$4</f>
        <v/>
      </c>
      <c r="C66" s="6">
        <f>IF(MOD(A66,'全局参数'!$B$6)=0,'全局参数'!$B$5,0)+'全局参数'!$B$7</f>
        <v/>
      </c>
      <c r="D66" s="6">
        <f>D65+B66-C66</f>
        <v/>
      </c>
      <c r="E66" s="6">
        <f>'全局参数'!$B$8</f>
        <v/>
      </c>
      <c r="F66" s="6">
        <f>'全局参数'!$B$9+'全局参数'!$B$10</f>
        <v/>
      </c>
      <c r="G66" s="6">
        <f>G65+E66-F66</f>
        <v/>
      </c>
      <c r="H66" s="6" t="inlineStr">
        <is>
          <t>H65+('全局参数'!$B$11-'全局参数'!$B$12)</t>
        </is>
      </c>
      <c r="I66" s="6" t="inlineStr">
        <is>
          <t>I65+('全局参数'!$B$13-'全局参数'!$B$14)</t>
        </is>
      </c>
    </row>
    <row r="67">
      <c r="A67" s="6" t="n">
        <v>64</v>
      </c>
      <c r="B67" s="6">
        <f>'全局参数'!$B$4</f>
        <v/>
      </c>
      <c r="C67" s="6">
        <f>IF(MOD(A67,'全局参数'!$B$6)=0,'全局参数'!$B$5,0)+'全局参数'!$B$7</f>
        <v/>
      </c>
      <c r="D67" s="6">
        <f>D66+B67-C67</f>
        <v/>
      </c>
      <c r="E67" s="6">
        <f>'全局参数'!$B$8</f>
        <v/>
      </c>
      <c r="F67" s="6">
        <f>'全局参数'!$B$9+'全局参数'!$B$10</f>
        <v/>
      </c>
      <c r="G67" s="6">
        <f>G66+E67-F67</f>
        <v/>
      </c>
      <c r="H67" s="6" t="inlineStr">
        <is>
          <t>H66+('全局参数'!$B$11-'全局参数'!$B$12)</t>
        </is>
      </c>
      <c r="I67" s="6" t="inlineStr">
        <is>
          <t>I66+('全局参数'!$B$13-'全局参数'!$B$14)</t>
        </is>
      </c>
    </row>
    <row r="68">
      <c r="A68" s="6" t="n">
        <v>65</v>
      </c>
      <c r="B68" s="6">
        <f>'全局参数'!$B$4</f>
        <v/>
      </c>
      <c r="C68" s="6">
        <f>IF(MOD(A68,'全局参数'!$B$6)=0,'全局参数'!$B$5,0)+'全局参数'!$B$7</f>
        <v/>
      </c>
      <c r="D68" s="6">
        <f>D67+B68-C68</f>
        <v/>
      </c>
      <c r="E68" s="6">
        <f>'全局参数'!$B$8</f>
        <v/>
      </c>
      <c r="F68" s="6">
        <f>'全局参数'!$B$9+'全局参数'!$B$10</f>
        <v/>
      </c>
      <c r="G68" s="6">
        <f>G67+E68-F68</f>
        <v/>
      </c>
      <c r="H68" s="6" t="inlineStr">
        <is>
          <t>H67+('全局参数'!$B$11-'全局参数'!$B$12)</t>
        </is>
      </c>
      <c r="I68" s="6" t="inlineStr">
        <is>
          <t>I67+('全局参数'!$B$13-'全局参数'!$B$14)</t>
        </is>
      </c>
    </row>
    <row r="69">
      <c r="A69" s="6" t="n">
        <v>66</v>
      </c>
      <c r="B69" s="6">
        <f>'全局参数'!$B$4</f>
        <v/>
      </c>
      <c r="C69" s="6">
        <f>IF(MOD(A69,'全局参数'!$B$6)=0,'全局参数'!$B$5,0)+'全局参数'!$B$7</f>
        <v/>
      </c>
      <c r="D69" s="6">
        <f>D68+B69-C69</f>
        <v/>
      </c>
      <c r="E69" s="6">
        <f>'全局参数'!$B$8</f>
        <v/>
      </c>
      <c r="F69" s="6">
        <f>'全局参数'!$B$9+'全局参数'!$B$10</f>
        <v/>
      </c>
      <c r="G69" s="6">
        <f>G68+E69-F69</f>
        <v/>
      </c>
      <c r="H69" s="6" t="inlineStr">
        <is>
          <t>H68+('全局参数'!$B$11-'全局参数'!$B$12)</t>
        </is>
      </c>
      <c r="I69" s="6" t="inlineStr">
        <is>
          <t>I68+('全局参数'!$B$13-'全局参数'!$B$14)</t>
        </is>
      </c>
    </row>
    <row r="70">
      <c r="A70" s="6" t="n">
        <v>67</v>
      </c>
      <c r="B70" s="6">
        <f>'全局参数'!$B$4</f>
        <v/>
      </c>
      <c r="C70" s="6">
        <f>IF(MOD(A70,'全局参数'!$B$6)=0,'全局参数'!$B$5,0)+'全局参数'!$B$7</f>
        <v/>
      </c>
      <c r="D70" s="6">
        <f>D69+B70-C70</f>
        <v/>
      </c>
      <c r="E70" s="6">
        <f>'全局参数'!$B$8</f>
        <v/>
      </c>
      <c r="F70" s="6">
        <f>'全局参数'!$B$9+'全局参数'!$B$10</f>
        <v/>
      </c>
      <c r="G70" s="6">
        <f>G69+E70-F70</f>
        <v/>
      </c>
      <c r="H70" s="6" t="inlineStr">
        <is>
          <t>H69+('全局参数'!$B$11-'全局参数'!$B$12)</t>
        </is>
      </c>
      <c r="I70" s="6" t="inlineStr">
        <is>
          <t>I69+('全局参数'!$B$13-'全局参数'!$B$14)</t>
        </is>
      </c>
    </row>
    <row r="71">
      <c r="A71" s="6" t="n">
        <v>68</v>
      </c>
      <c r="B71" s="6">
        <f>'全局参数'!$B$4</f>
        <v/>
      </c>
      <c r="C71" s="6">
        <f>IF(MOD(A71,'全局参数'!$B$6)=0,'全局参数'!$B$5,0)+'全局参数'!$B$7</f>
        <v/>
      </c>
      <c r="D71" s="6">
        <f>D70+B71-C71</f>
        <v/>
      </c>
      <c r="E71" s="6">
        <f>'全局参数'!$B$8</f>
        <v/>
      </c>
      <c r="F71" s="6">
        <f>'全局参数'!$B$9+'全局参数'!$B$10</f>
        <v/>
      </c>
      <c r="G71" s="6">
        <f>G70+E71-F71</f>
        <v/>
      </c>
      <c r="H71" s="6" t="inlineStr">
        <is>
          <t>H70+('全局参数'!$B$11-'全局参数'!$B$12)</t>
        </is>
      </c>
      <c r="I71" s="6" t="inlineStr">
        <is>
          <t>I70+('全局参数'!$B$13-'全局参数'!$B$14)</t>
        </is>
      </c>
    </row>
    <row r="72">
      <c r="A72" s="6" t="n">
        <v>69</v>
      </c>
      <c r="B72" s="6">
        <f>'全局参数'!$B$4</f>
        <v/>
      </c>
      <c r="C72" s="6">
        <f>IF(MOD(A72,'全局参数'!$B$6)=0,'全局参数'!$B$5,0)+'全局参数'!$B$7</f>
        <v/>
      </c>
      <c r="D72" s="6">
        <f>D71+B72-C72</f>
        <v/>
      </c>
      <c r="E72" s="6">
        <f>'全局参数'!$B$8</f>
        <v/>
      </c>
      <c r="F72" s="6">
        <f>'全局参数'!$B$9+'全局参数'!$B$10</f>
        <v/>
      </c>
      <c r="G72" s="6">
        <f>G71+E72-F72</f>
        <v/>
      </c>
      <c r="H72" s="6" t="inlineStr">
        <is>
          <t>H71+('全局参数'!$B$11-'全局参数'!$B$12)</t>
        </is>
      </c>
      <c r="I72" s="6" t="inlineStr">
        <is>
          <t>I71+('全局参数'!$B$13-'全局参数'!$B$14)</t>
        </is>
      </c>
    </row>
    <row r="73">
      <c r="A73" s="6" t="n">
        <v>70</v>
      </c>
      <c r="B73" s="6">
        <f>'全局参数'!$B$4</f>
        <v/>
      </c>
      <c r="C73" s="6">
        <f>IF(MOD(A73,'全局参数'!$B$6)=0,'全局参数'!$B$5,0)+'全局参数'!$B$7</f>
        <v/>
      </c>
      <c r="D73" s="6">
        <f>D72+B73-C73</f>
        <v/>
      </c>
      <c r="E73" s="6">
        <f>'全局参数'!$B$8</f>
        <v/>
      </c>
      <c r="F73" s="6">
        <f>'全局参数'!$B$9+'全局参数'!$B$10</f>
        <v/>
      </c>
      <c r="G73" s="6">
        <f>G72+E73-F73</f>
        <v/>
      </c>
      <c r="H73" s="6" t="inlineStr">
        <is>
          <t>H72+('全局参数'!$B$11-'全局参数'!$B$12)</t>
        </is>
      </c>
      <c r="I73" s="6" t="inlineStr">
        <is>
          <t>I72+('全局参数'!$B$13-'全局参数'!$B$14)</t>
        </is>
      </c>
    </row>
    <row r="74">
      <c r="A74" s="6" t="n">
        <v>71</v>
      </c>
      <c r="B74" s="6">
        <f>'全局参数'!$B$4</f>
        <v/>
      </c>
      <c r="C74" s="6">
        <f>IF(MOD(A74,'全局参数'!$B$6)=0,'全局参数'!$B$5,0)+'全局参数'!$B$7</f>
        <v/>
      </c>
      <c r="D74" s="6">
        <f>D73+B74-C74</f>
        <v/>
      </c>
      <c r="E74" s="6">
        <f>'全局参数'!$B$8</f>
        <v/>
      </c>
      <c r="F74" s="6">
        <f>'全局参数'!$B$9+'全局参数'!$B$10</f>
        <v/>
      </c>
      <c r="G74" s="6">
        <f>G73+E74-F74</f>
        <v/>
      </c>
      <c r="H74" s="6" t="inlineStr">
        <is>
          <t>H73+('全局参数'!$B$11-'全局参数'!$B$12)</t>
        </is>
      </c>
      <c r="I74" s="6" t="inlineStr">
        <is>
          <t>I73+('全局参数'!$B$13-'全局参数'!$B$14)</t>
        </is>
      </c>
    </row>
    <row r="75">
      <c r="A75" s="6" t="n">
        <v>72</v>
      </c>
      <c r="B75" s="6">
        <f>'全局参数'!$B$4</f>
        <v/>
      </c>
      <c r="C75" s="6">
        <f>IF(MOD(A75,'全局参数'!$B$6)=0,'全局参数'!$B$5,0)+'全局参数'!$B$7</f>
        <v/>
      </c>
      <c r="D75" s="6">
        <f>D74+B75-C75</f>
        <v/>
      </c>
      <c r="E75" s="6">
        <f>'全局参数'!$B$8</f>
        <v/>
      </c>
      <c r="F75" s="6">
        <f>'全局参数'!$B$9+'全局参数'!$B$10</f>
        <v/>
      </c>
      <c r="G75" s="6">
        <f>G74+E75-F75</f>
        <v/>
      </c>
      <c r="H75" s="6" t="inlineStr">
        <is>
          <t>H74+('全局参数'!$B$11-'全局参数'!$B$12)</t>
        </is>
      </c>
      <c r="I75" s="6" t="inlineStr">
        <is>
          <t>I74+('全局参数'!$B$13-'全局参数'!$B$14)</t>
        </is>
      </c>
    </row>
    <row r="76">
      <c r="A76" s="6" t="n">
        <v>73</v>
      </c>
      <c r="B76" s="6">
        <f>'全局参数'!$B$4</f>
        <v/>
      </c>
      <c r="C76" s="6">
        <f>IF(MOD(A76,'全局参数'!$B$6)=0,'全局参数'!$B$5,0)+'全局参数'!$B$7</f>
        <v/>
      </c>
      <c r="D76" s="6">
        <f>D75+B76-C76</f>
        <v/>
      </c>
      <c r="E76" s="6">
        <f>'全局参数'!$B$8</f>
        <v/>
      </c>
      <c r="F76" s="6">
        <f>'全局参数'!$B$9+'全局参数'!$B$10</f>
        <v/>
      </c>
      <c r="G76" s="6">
        <f>G75+E76-F76</f>
        <v/>
      </c>
      <c r="H76" s="6" t="inlineStr">
        <is>
          <t>H75+('全局参数'!$B$11-'全局参数'!$B$12)</t>
        </is>
      </c>
      <c r="I76" s="6" t="inlineStr">
        <is>
          <t>I75+('全局参数'!$B$13-'全局参数'!$B$14)</t>
        </is>
      </c>
    </row>
    <row r="77">
      <c r="A77" s="6" t="n">
        <v>74</v>
      </c>
      <c r="B77" s="6">
        <f>'全局参数'!$B$4</f>
        <v/>
      </c>
      <c r="C77" s="6">
        <f>IF(MOD(A77,'全局参数'!$B$6)=0,'全局参数'!$B$5,0)+'全局参数'!$B$7</f>
        <v/>
      </c>
      <c r="D77" s="6">
        <f>D76+B77-C77</f>
        <v/>
      </c>
      <c r="E77" s="6">
        <f>'全局参数'!$B$8</f>
        <v/>
      </c>
      <c r="F77" s="6">
        <f>'全局参数'!$B$9+'全局参数'!$B$10</f>
        <v/>
      </c>
      <c r="G77" s="6">
        <f>G76+E77-F77</f>
        <v/>
      </c>
      <c r="H77" s="6" t="inlineStr">
        <is>
          <t>H76+('全局参数'!$B$11-'全局参数'!$B$12)</t>
        </is>
      </c>
      <c r="I77" s="6" t="inlineStr">
        <is>
          <t>I76+('全局参数'!$B$13-'全局参数'!$B$14)</t>
        </is>
      </c>
    </row>
    <row r="78">
      <c r="A78" s="6" t="n">
        <v>75</v>
      </c>
      <c r="B78" s="6">
        <f>'全局参数'!$B$4</f>
        <v/>
      </c>
      <c r="C78" s="6">
        <f>IF(MOD(A78,'全局参数'!$B$6)=0,'全局参数'!$B$5,0)+'全局参数'!$B$7</f>
        <v/>
      </c>
      <c r="D78" s="6">
        <f>D77+B78-C78</f>
        <v/>
      </c>
      <c r="E78" s="6">
        <f>'全局参数'!$B$8</f>
        <v/>
      </c>
      <c r="F78" s="6">
        <f>'全局参数'!$B$9+'全局参数'!$B$10</f>
        <v/>
      </c>
      <c r="G78" s="6">
        <f>G77+E78-F78</f>
        <v/>
      </c>
      <c r="H78" s="6" t="inlineStr">
        <is>
          <t>H77+('全局参数'!$B$11-'全局参数'!$B$12)</t>
        </is>
      </c>
      <c r="I78" s="6" t="inlineStr">
        <is>
          <t>I77+('全局参数'!$B$13-'全局参数'!$B$14)</t>
        </is>
      </c>
    </row>
    <row r="79">
      <c r="A79" s="6" t="n">
        <v>76</v>
      </c>
      <c r="B79" s="6">
        <f>'全局参数'!$B$4</f>
        <v/>
      </c>
      <c r="C79" s="6">
        <f>IF(MOD(A79,'全局参数'!$B$6)=0,'全局参数'!$B$5,0)+'全局参数'!$B$7</f>
        <v/>
      </c>
      <c r="D79" s="6">
        <f>D78+B79-C79</f>
        <v/>
      </c>
      <c r="E79" s="6">
        <f>'全局参数'!$B$8</f>
        <v/>
      </c>
      <c r="F79" s="6">
        <f>'全局参数'!$B$9+'全局参数'!$B$10</f>
        <v/>
      </c>
      <c r="G79" s="6">
        <f>G78+E79-F79</f>
        <v/>
      </c>
      <c r="H79" s="6" t="inlineStr">
        <is>
          <t>H78+('全局参数'!$B$11-'全局参数'!$B$12)</t>
        </is>
      </c>
      <c r="I79" s="6" t="inlineStr">
        <is>
          <t>I78+('全局参数'!$B$13-'全局参数'!$B$14)</t>
        </is>
      </c>
    </row>
    <row r="80">
      <c r="A80" s="6" t="n">
        <v>77</v>
      </c>
      <c r="B80" s="6">
        <f>'全局参数'!$B$4</f>
        <v/>
      </c>
      <c r="C80" s="6">
        <f>IF(MOD(A80,'全局参数'!$B$6)=0,'全局参数'!$B$5,0)+'全局参数'!$B$7</f>
        <v/>
      </c>
      <c r="D80" s="6">
        <f>D79+B80-C80</f>
        <v/>
      </c>
      <c r="E80" s="6">
        <f>'全局参数'!$B$8</f>
        <v/>
      </c>
      <c r="F80" s="6">
        <f>'全局参数'!$B$9+'全局参数'!$B$10</f>
        <v/>
      </c>
      <c r="G80" s="6">
        <f>G79+E80-F80</f>
        <v/>
      </c>
      <c r="H80" s="6" t="inlineStr">
        <is>
          <t>H79+('全局参数'!$B$11-'全局参数'!$B$12)</t>
        </is>
      </c>
      <c r="I80" s="6" t="inlineStr">
        <is>
          <t>I79+('全局参数'!$B$13-'全局参数'!$B$14)</t>
        </is>
      </c>
    </row>
    <row r="81">
      <c r="A81" s="6" t="n">
        <v>78</v>
      </c>
      <c r="B81" s="6">
        <f>'全局参数'!$B$4</f>
        <v/>
      </c>
      <c r="C81" s="6">
        <f>IF(MOD(A81,'全局参数'!$B$6)=0,'全局参数'!$B$5,0)+'全局参数'!$B$7</f>
        <v/>
      </c>
      <c r="D81" s="6">
        <f>D80+B81-C81</f>
        <v/>
      </c>
      <c r="E81" s="6">
        <f>'全局参数'!$B$8</f>
        <v/>
      </c>
      <c r="F81" s="6">
        <f>'全局参数'!$B$9+'全局参数'!$B$10</f>
        <v/>
      </c>
      <c r="G81" s="6">
        <f>G80+E81-F81</f>
        <v/>
      </c>
      <c r="H81" s="6" t="inlineStr">
        <is>
          <t>H80+('全局参数'!$B$11-'全局参数'!$B$12)</t>
        </is>
      </c>
      <c r="I81" s="6" t="inlineStr">
        <is>
          <t>I80+('全局参数'!$B$13-'全局参数'!$B$14)</t>
        </is>
      </c>
    </row>
    <row r="82">
      <c r="A82" s="6" t="n">
        <v>79</v>
      </c>
      <c r="B82" s="6">
        <f>'全局参数'!$B$4</f>
        <v/>
      </c>
      <c r="C82" s="6">
        <f>IF(MOD(A82,'全局参数'!$B$6)=0,'全局参数'!$B$5,0)+'全局参数'!$B$7</f>
        <v/>
      </c>
      <c r="D82" s="6">
        <f>D81+B82-C82</f>
        <v/>
      </c>
      <c r="E82" s="6">
        <f>'全局参数'!$B$8</f>
        <v/>
      </c>
      <c r="F82" s="6">
        <f>'全局参数'!$B$9+'全局参数'!$B$10</f>
        <v/>
      </c>
      <c r="G82" s="6">
        <f>G81+E82-F82</f>
        <v/>
      </c>
      <c r="H82" s="6" t="inlineStr">
        <is>
          <t>H81+('全局参数'!$B$11-'全局参数'!$B$12)</t>
        </is>
      </c>
      <c r="I82" s="6" t="inlineStr">
        <is>
          <t>I81+('全局参数'!$B$13-'全局参数'!$B$14)</t>
        </is>
      </c>
    </row>
    <row r="83">
      <c r="A83" s="6" t="n">
        <v>80</v>
      </c>
      <c r="B83" s="6">
        <f>'全局参数'!$B$4</f>
        <v/>
      </c>
      <c r="C83" s="6">
        <f>IF(MOD(A83,'全局参数'!$B$6)=0,'全局参数'!$B$5,0)+'全局参数'!$B$7</f>
        <v/>
      </c>
      <c r="D83" s="6">
        <f>D82+B83-C83</f>
        <v/>
      </c>
      <c r="E83" s="6">
        <f>'全局参数'!$B$8</f>
        <v/>
      </c>
      <c r="F83" s="6">
        <f>'全局参数'!$B$9+'全局参数'!$B$10</f>
        <v/>
      </c>
      <c r="G83" s="6">
        <f>G82+E83-F83</f>
        <v/>
      </c>
      <c r="H83" s="6" t="inlineStr">
        <is>
          <t>H82+('全局参数'!$B$11-'全局参数'!$B$12)</t>
        </is>
      </c>
      <c r="I83" s="6" t="inlineStr">
        <is>
          <t>I82+('全局参数'!$B$13-'全局参数'!$B$14)</t>
        </is>
      </c>
    </row>
    <row r="84">
      <c r="A84" s="6" t="n">
        <v>81</v>
      </c>
      <c r="B84" s="6">
        <f>'全局参数'!$B$4</f>
        <v/>
      </c>
      <c r="C84" s="6">
        <f>IF(MOD(A84,'全局参数'!$B$6)=0,'全局参数'!$B$5,0)+'全局参数'!$B$7</f>
        <v/>
      </c>
      <c r="D84" s="6">
        <f>D83+B84-C84</f>
        <v/>
      </c>
      <c r="E84" s="6">
        <f>'全局参数'!$B$8</f>
        <v/>
      </c>
      <c r="F84" s="6">
        <f>'全局参数'!$B$9+'全局参数'!$B$10</f>
        <v/>
      </c>
      <c r="G84" s="6">
        <f>G83+E84-F84</f>
        <v/>
      </c>
      <c r="H84" s="6" t="inlineStr">
        <is>
          <t>H83+('全局参数'!$B$11-'全局参数'!$B$12)</t>
        </is>
      </c>
      <c r="I84" s="6" t="inlineStr">
        <is>
          <t>I83+('全局参数'!$B$13-'全局参数'!$B$14)</t>
        </is>
      </c>
    </row>
    <row r="85">
      <c r="A85" s="6" t="n">
        <v>82</v>
      </c>
      <c r="B85" s="6">
        <f>'全局参数'!$B$4</f>
        <v/>
      </c>
      <c r="C85" s="6">
        <f>IF(MOD(A85,'全局参数'!$B$6)=0,'全局参数'!$B$5,0)+'全局参数'!$B$7</f>
        <v/>
      </c>
      <c r="D85" s="6">
        <f>D84+B85-C85</f>
        <v/>
      </c>
      <c r="E85" s="6">
        <f>'全局参数'!$B$8</f>
        <v/>
      </c>
      <c r="F85" s="6">
        <f>'全局参数'!$B$9+'全局参数'!$B$10</f>
        <v/>
      </c>
      <c r="G85" s="6">
        <f>G84+E85-F85</f>
        <v/>
      </c>
      <c r="H85" s="6" t="inlineStr">
        <is>
          <t>H84+('全局参数'!$B$11-'全局参数'!$B$12)</t>
        </is>
      </c>
      <c r="I85" s="6" t="inlineStr">
        <is>
          <t>I84+('全局参数'!$B$13-'全局参数'!$B$14)</t>
        </is>
      </c>
    </row>
    <row r="86">
      <c r="A86" s="6" t="n">
        <v>83</v>
      </c>
      <c r="B86" s="6">
        <f>'全局参数'!$B$4</f>
        <v/>
      </c>
      <c r="C86" s="6">
        <f>IF(MOD(A86,'全局参数'!$B$6)=0,'全局参数'!$B$5,0)+'全局参数'!$B$7</f>
        <v/>
      </c>
      <c r="D86" s="6">
        <f>D85+B86-C86</f>
        <v/>
      </c>
      <c r="E86" s="6">
        <f>'全局参数'!$B$8</f>
        <v/>
      </c>
      <c r="F86" s="6">
        <f>'全局参数'!$B$9+'全局参数'!$B$10</f>
        <v/>
      </c>
      <c r="G86" s="6">
        <f>G85+E86-F86</f>
        <v/>
      </c>
      <c r="H86" s="6" t="inlineStr">
        <is>
          <t>H85+('全局参数'!$B$11-'全局参数'!$B$12)</t>
        </is>
      </c>
      <c r="I86" s="6" t="inlineStr">
        <is>
          <t>I85+('全局参数'!$B$13-'全局参数'!$B$14)</t>
        </is>
      </c>
    </row>
    <row r="87">
      <c r="A87" s="6" t="n">
        <v>84</v>
      </c>
      <c r="B87" s="6">
        <f>'全局参数'!$B$4</f>
        <v/>
      </c>
      <c r="C87" s="6">
        <f>IF(MOD(A87,'全局参数'!$B$6)=0,'全局参数'!$B$5,0)+'全局参数'!$B$7</f>
        <v/>
      </c>
      <c r="D87" s="6">
        <f>D86+B87-C87</f>
        <v/>
      </c>
      <c r="E87" s="6">
        <f>'全局参数'!$B$8</f>
        <v/>
      </c>
      <c r="F87" s="6">
        <f>'全局参数'!$B$9+'全局参数'!$B$10</f>
        <v/>
      </c>
      <c r="G87" s="6">
        <f>G86+E87-F87</f>
        <v/>
      </c>
      <c r="H87" s="6" t="inlineStr">
        <is>
          <t>H86+('全局参数'!$B$11-'全局参数'!$B$12)</t>
        </is>
      </c>
      <c r="I87" s="6" t="inlineStr">
        <is>
          <t>I86+('全局参数'!$B$13-'全局参数'!$B$14)</t>
        </is>
      </c>
    </row>
    <row r="88">
      <c r="A88" s="6" t="n">
        <v>85</v>
      </c>
      <c r="B88" s="6">
        <f>'全局参数'!$B$4</f>
        <v/>
      </c>
      <c r="C88" s="6">
        <f>IF(MOD(A88,'全局参数'!$B$6)=0,'全局参数'!$B$5,0)+'全局参数'!$B$7</f>
        <v/>
      </c>
      <c r="D88" s="6">
        <f>D87+B88-C88</f>
        <v/>
      </c>
      <c r="E88" s="6">
        <f>'全局参数'!$B$8</f>
        <v/>
      </c>
      <c r="F88" s="6">
        <f>'全局参数'!$B$9+'全局参数'!$B$10</f>
        <v/>
      </c>
      <c r="G88" s="6">
        <f>G87+E88-F88</f>
        <v/>
      </c>
      <c r="H88" s="6" t="inlineStr">
        <is>
          <t>H87+('全局参数'!$B$11-'全局参数'!$B$12)</t>
        </is>
      </c>
      <c r="I88" s="6" t="inlineStr">
        <is>
          <t>I87+('全局参数'!$B$13-'全局参数'!$B$14)</t>
        </is>
      </c>
    </row>
    <row r="89">
      <c r="A89" s="6" t="n">
        <v>86</v>
      </c>
      <c r="B89" s="6">
        <f>'全局参数'!$B$4</f>
        <v/>
      </c>
      <c r="C89" s="6">
        <f>IF(MOD(A89,'全局参数'!$B$6)=0,'全局参数'!$B$5,0)+'全局参数'!$B$7</f>
        <v/>
      </c>
      <c r="D89" s="6">
        <f>D88+B89-C89</f>
        <v/>
      </c>
      <c r="E89" s="6">
        <f>'全局参数'!$B$8</f>
        <v/>
      </c>
      <c r="F89" s="6">
        <f>'全局参数'!$B$9+'全局参数'!$B$10</f>
        <v/>
      </c>
      <c r="G89" s="6">
        <f>G88+E89-F89</f>
        <v/>
      </c>
      <c r="H89" s="6" t="inlineStr">
        <is>
          <t>H88+('全局参数'!$B$11-'全局参数'!$B$12)</t>
        </is>
      </c>
      <c r="I89" s="6" t="inlineStr">
        <is>
          <t>I88+('全局参数'!$B$13-'全局参数'!$B$14)</t>
        </is>
      </c>
    </row>
    <row r="90">
      <c r="A90" s="6" t="n">
        <v>87</v>
      </c>
      <c r="B90" s="6">
        <f>'全局参数'!$B$4</f>
        <v/>
      </c>
      <c r="C90" s="6">
        <f>IF(MOD(A90,'全局参数'!$B$6)=0,'全局参数'!$B$5,0)+'全局参数'!$B$7</f>
        <v/>
      </c>
      <c r="D90" s="6">
        <f>D89+B90-C90</f>
        <v/>
      </c>
      <c r="E90" s="6">
        <f>'全局参数'!$B$8</f>
        <v/>
      </c>
      <c r="F90" s="6">
        <f>'全局参数'!$B$9+'全局参数'!$B$10</f>
        <v/>
      </c>
      <c r="G90" s="6">
        <f>G89+E90-F90</f>
        <v/>
      </c>
      <c r="H90" s="6" t="inlineStr">
        <is>
          <t>H89+('全局参数'!$B$11-'全局参数'!$B$12)</t>
        </is>
      </c>
      <c r="I90" s="6" t="inlineStr">
        <is>
          <t>I89+('全局参数'!$B$13-'全局参数'!$B$14)</t>
        </is>
      </c>
    </row>
    <row r="91">
      <c r="A91" s="6" t="n">
        <v>88</v>
      </c>
      <c r="B91" s="6">
        <f>'全局参数'!$B$4</f>
        <v/>
      </c>
      <c r="C91" s="6">
        <f>IF(MOD(A91,'全局参数'!$B$6)=0,'全局参数'!$B$5,0)+'全局参数'!$B$7</f>
        <v/>
      </c>
      <c r="D91" s="6">
        <f>D90+B91-C91</f>
        <v/>
      </c>
      <c r="E91" s="6">
        <f>'全局参数'!$B$8</f>
        <v/>
      </c>
      <c r="F91" s="6">
        <f>'全局参数'!$B$9+'全局参数'!$B$10</f>
        <v/>
      </c>
      <c r="G91" s="6">
        <f>G90+E91-F91</f>
        <v/>
      </c>
      <c r="H91" s="6" t="inlineStr">
        <is>
          <t>H90+('全局参数'!$B$11-'全局参数'!$B$12)</t>
        </is>
      </c>
      <c r="I91" s="6" t="inlineStr">
        <is>
          <t>I90+('全局参数'!$B$13-'全局参数'!$B$14)</t>
        </is>
      </c>
    </row>
    <row r="92">
      <c r="A92" s="6" t="n">
        <v>89</v>
      </c>
      <c r="B92" s="6">
        <f>'全局参数'!$B$4</f>
        <v/>
      </c>
      <c r="C92" s="6">
        <f>IF(MOD(A92,'全局参数'!$B$6)=0,'全局参数'!$B$5,0)+'全局参数'!$B$7</f>
        <v/>
      </c>
      <c r="D92" s="6">
        <f>D91+B92-C92</f>
        <v/>
      </c>
      <c r="E92" s="6">
        <f>'全局参数'!$B$8</f>
        <v/>
      </c>
      <c r="F92" s="6">
        <f>'全局参数'!$B$9+'全局参数'!$B$10</f>
        <v/>
      </c>
      <c r="G92" s="6">
        <f>G91+E92-F92</f>
        <v/>
      </c>
      <c r="H92" s="6" t="inlineStr">
        <is>
          <t>H91+('全局参数'!$B$11-'全局参数'!$B$12)</t>
        </is>
      </c>
      <c r="I92" s="6" t="inlineStr">
        <is>
          <t>I91+('全局参数'!$B$13-'全局参数'!$B$14)</t>
        </is>
      </c>
    </row>
    <row r="93">
      <c r="A93" s="6" t="n">
        <v>90</v>
      </c>
      <c r="B93" s="6">
        <f>'全局参数'!$B$4</f>
        <v/>
      </c>
      <c r="C93" s="6">
        <f>IF(MOD(A93,'全局参数'!$B$6)=0,'全局参数'!$B$5,0)+'全局参数'!$B$7</f>
        <v/>
      </c>
      <c r="D93" s="6">
        <f>D92+B93-C93</f>
        <v/>
      </c>
      <c r="E93" s="6">
        <f>'全局参数'!$B$8</f>
        <v/>
      </c>
      <c r="F93" s="6">
        <f>'全局参数'!$B$9+'全局参数'!$B$10</f>
        <v/>
      </c>
      <c r="G93" s="6">
        <f>G92+E93-F93</f>
        <v/>
      </c>
      <c r="H93" s="6" t="inlineStr">
        <is>
          <t>H92+('全局参数'!$B$11-'全局参数'!$B$12)</t>
        </is>
      </c>
      <c r="I93" s="6" t="inlineStr">
        <is>
          <t>I92+('全局参数'!$B$13-'全局参数'!$B$14)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90 天生态校验（产出 / 消耗 / 结余 / 运营结论）</t>
        </is>
      </c>
    </row>
    <row r="3">
      <c r="A3" s="7" t="inlineStr">
        <is>
          <t>天空石</t>
        </is>
      </c>
      <c r="B3" s="6">
        <f>SUMPRODUCT(('90天收支模拟'!B4:B93)*1)</f>
        <v/>
      </c>
      <c r="C3" s="6">
        <f>SUM('90天收支模拟'!C4:C93)</f>
        <v/>
      </c>
      <c r="D3" s="6">
        <f>'90天收支模拟'!D93</f>
        <v/>
      </c>
      <c r="E3" s="8" t="inlineStr">
        <is>
          <t>结论：投放克制、结余为正——硬通货紧缩是本作抽卡节奏的核心；抽卡补充依赖活动赠送招募券（不占天空石）</t>
        </is>
      </c>
    </row>
    <row r="4">
      <c r="A4" s="7" t="inlineStr">
        <is>
          <t>金币</t>
        </is>
      </c>
      <c r="B4" s="6">
        <f>SUM('90天收支模拟'!E4:E93)</f>
        <v/>
      </c>
      <c r="C4" s="6">
        <f>SUM('90天收支模拟'!F4:F93)</f>
        <v/>
      </c>
      <c r="D4" s="6">
        <f>'90天收支模拟'!G93</f>
        <v/>
      </c>
      <c r="E4" s="8" t="inlineStr">
        <is>
          <t>结论：净投放大幅为正（长线通胀）——必须设计回收口：装备重铸 / 限时商店 / 多英雄平行培养，否则金币在中后期失去约束力</t>
        </is>
      </c>
    </row>
    <row r="5">
      <c r="A5" s="7" t="inlineStr">
        <is>
          <t>体力</t>
        </is>
      </c>
      <c r="B5" s="6">
        <f>900*90</f>
        <v/>
      </c>
      <c r="C5" s="6">
        <f>850*90</f>
        <v/>
      </c>
      <c r="D5" s="6">
        <f>'90天收支模拟'!H93</f>
        <v/>
      </c>
      <c r="E5" s="8" t="inlineStr">
        <is>
          <t>结论：紧平衡（日均结余 50）——体力是日活闸门：玩家永远"差一点"，每日刷图选择构成隐性的资源配置决策</t>
        </is>
      </c>
    </row>
    <row r="6">
      <c r="A6" s="7" t="inlineStr">
        <is>
          <t>荣誉</t>
        </is>
      </c>
      <c r="B6" s="6">
        <f>300*90</f>
        <v/>
      </c>
      <c r="C6" s="6">
        <f>250*90</f>
        <v/>
      </c>
      <c r="D6" s="6">
        <f>'90天收支模拟'!I93</f>
        <v/>
      </c>
      <c r="E6" s="8" t="inlineStr">
        <is>
          <t>结论：微正结余——专用币允许小幅盈余，兑换商店定期上新消耗库存</t>
        </is>
      </c>
    </row>
    <row r="9">
      <c r="A9" s="4" t="inlineStr">
        <is>
          <t>方法论：经济是流量系统——逐日收支模拟比"拍一个总产出"更能暴露通胀时点与缺口。本表证明：①金币必须加回收口 ②天空石投放克制是抽卡体验的前提 ③体力紧平衡即日活闸门。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内容</t>
        </is>
      </c>
    </row>
    <row r="2">
      <c r="A2" s="6" t="inlineStr">
        <is>
          <t>① 标准玩家画像：零充/轻付费，收支模型以全局参数为唯一参数源</t>
        </is>
      </c>
    </row>
    <row r="3">
      <c r="A3" s="6" t="inlineStr">
        <is>
          <t>② 90 天模拟：余额公式逐日累计，天空石含周期性十连支出（每 30 天一次）</t>
        </is>
      </c>
    </row>
    <row r="4">
      <c r="A4" s="6" t="inlineStr">
        <is>
          <t>③ 生态校验：四种货币四种结论——天空石紧缩 / 金币通胀需回收 / 体力紧平衡 / 专用币微正</t>
        </is>
      </c>
    </row>
    <row r="5">
      <c r="A5" s="6" t="inlineStr">
        <is>
          <t>④ 图表：天空石余额与金币余额曲线，直观展示抽卡节奏与通胀走势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2026-10-21T04:51:20Z</dcterms:created>
  <dcterms:modified xmlns:dcterms="http://purl.org/dc/terms/" xmlns:xsi="http://www.w3.org/2001/XMLSchema-instance" xsi:type="dcterms:W3CDTF">2026-10-21T04:51:20Z</dcterms:modified>
</cp:coreProperties>
</file>